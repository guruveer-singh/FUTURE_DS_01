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ata_Monthly" sheetId="2" state="visible" r:id="rId2"/>
    <sheet xmlns:r="http://schemas.openxmlformats.org/officeDocument/2006/relationships" name="Data_TopProducts" sheetId="3" state="visible" r:id="rId3"/>
    <sheet xmlns:r="http://schemas.openxmlformats.org/officeDocument/2006/relationships" name="Data_Geo" sheetId="4" state="visible" r:id="rId4"/>
    <sheet xmlns:r="http://schemas.openxmlformats.org/officeDocument/2006/relationships" name="Data_Tiers" sheetId="5" state="visible" r:id="rId5"/>
    <sheet xmlns:r="http://schemas.openxmlformats.org/officeDocument/2006/relationships" name="Top Products Detail" sheetId="6" state="visible" r:id="rId6"/>
    <sheet xmlns:r="http://schemas.openxmlformats.org/officeDocument/2006/relationships" name="Country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64748B"/>
      <sz val="8"/>
    </font>
    <font>
      <name val="Segoe UI"/>
      <b val="1"/>
      <color rgb="001E3A8A"/>
      <sz val="18"/>
    </font>
    <font>
      <name val="Segoe UI"/>
      <b val="1"/>
      <color rgb="0016A34A"/>
      <sz val="8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1E293B"/>
      <sz val="9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2563EB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2" applyAlignment="1" pivotButton="0" quotePrefix="0" xfId="0">
      <alignment horizontal="left" vertical="center"/>
    </xf>
    <xf numFmtId="0" fontId="0" fillId="0" borderId="2" pivotButton="0" quotePrefix="0" xfId="0"/>
    <xf numFmtId="0" fontId="8" fillId="3" borderId="2" applyAlignment="1" pivotButton="0" quotePrefix="0" xfId="0">
      <alignment horizontal="left" vertical="center"/>
    </xf>
    <xf numFmtId="0" fontId="9" fillId="4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($ in Thousands)</a:t>
            </a:r>
          </a:p>
        </rich>
      </tx>
    </title>
    <plotArea>
      <lineChart>
        <grouping val="standard"/>
        <ser>
          <idx val="0"/>
          <order val="0"/>
          <tx>
            <strRef>
              <f>'Data_Monthly'!B1</f>
            </strRef>
          </tx>
          <spPr>
            <a:ln xmlns:a="http://schemas.openxmlformats.org/drawingml/2006/main" w="25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'Data_Monthly'!$A$2:$A$14</f>
            </numRef>
          </cat>
          <val>
            <numRef>
              <f>'Data_Monthly'!$B$2:$B$14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($k)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 ($k)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'Data_TopProducts'!B1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'Data_TopProducts'!$A$2:$A$11</f>
            </numRef>
          </cat>
          <val>
            <numRef>
              <f>'Data_TopProducts'!$B$2:$B$11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Global Market Revenue Share ($ Millions)</a:t>
            </a:r>
          </a:p>
        </rich>
      </tx>
    </title>
    <plotArea>
      <doughnutChart>
        <varyColors val="1"/>
        <ser>
          <idx val="0"/>
          <order val="0"/>
          <tx>
            <strRef>
              <f>'Data_Geo'!B1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'Data_Geo'!$A$2:$A$4</f>
            </numRef>
          </cat>
          <val>
            <numRef>
              <f>'Data_Geo'!$B$2:$B$4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Order Basket Size ($k)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'Data_Tiers'!B1</f>
            </strRef>
          </tx>
          <spPr>
            <a:solidFill xmlns:a="http://schemas.openxmlformats.org/drawingml/2006/main">
              <a:srgbClr val="4F46E5"/>
            </a:solidFill>
            <a:ln xmlns:a="http://schemas.openxmlformats.org/drawingml/2006/main">
              <a:prstDash val="solid"/>
            </a:ln>
          </spPr>
          <cat>
            <numRef>
              <f>'Data_Tiers'!$A$2:$A$8</f>
            </numRef>
          </cat>
          <val>
            <numRef>
              <f>'Data_Tiers'!$B$2:$B$8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Size 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($k)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52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10</row>
      <rowOff>0</rowOff>
    </from>
    <ext cx="52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33</row>
      <rowOff>0</rowOff>
    </from>
    <ext cx="52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33</row>
      <rowOff>0</rowOff>
    </from>
    <ext cx="522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6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7" customWidth="1" min="10" max="10"/>
    <col width="13.5" customWidth="1" min="11" max="11"/>
    <col width="13.5" customWidth="1" min="12" max="12"/>
    <col width="13.5" customWidth="1" min="13" max="13"/>
    <col width="13.5" customWidth="1" min="14" max="14"/>
    <col width="13.5" customWidth="1" min="15" max="15"/>
    <col width="13.5" customWidth="1" min="16" max="16"/>
    <col width="13.5" customWidth="1" min="17" max="17"/>
    <col width="13.5" customWidth="1" min="18" max="18"/>
  </cols>
  <sheetData>
    <row r="1" ht="15" customHeight="1"/>
    <row r="2" ht="28" customHeight="1">
      <c r="B2" s="1" t="inlineStr">
        <is>
          <t>RETAIL SALES PERFORMANCE &amp; EXECUTIVE INTELLIGENCE DASHBOARD</t>
        </is>
      </c>
    </row>
    <row r="3" ht="18" customHeight="1">
      <c r="B3" s="2" t="inlineStr">
        <is>
          <t>Future Interns Data Science Internship • Task 1 Deliverable • Dec 2010 – Dec 2011</t>
        </is>
      </c>
    </row>
    <row r="4" ht="12" customHeight="1"/>
    <row r="5" ht="22" customHeight="1">
      <c r="B5" s="3" t="inlineStr">
        <is>
          <t>TOTAL GROSS REVENUE</t>
        </is>
      </c>
      <c r="C5" s="4" t="n"/>
      <c r="D5" s="4" t="n"/>
      <c r="E5" s="4" t="n"/>
      <c r="F5" s="3" t="inlineStr">
        <is>
          <t>COMPLETED ORDERS</t>
        </is>
      </c>
      <c r="G5" s="4" t="n"/>
      <c r="H5" s="4" t="n"/>
      <c r="I5" s="4" t="n"/>
      <c r="K5" s="3" t="inlineStr">
        <is>
          <t>AVG ORDER VALUE (AOV)</t>
        </is>
      </c>
      <c r="L5" s="4" t="n"/>
      <c r="M5" s="4" t="n"/>
      <c r="N5" s="4" t="n"/>
      <c r="O5" s="3" t="inlineStr">
        <is>
          <t>ACTIVE CUSTOMERS</t>
        </is>
      </c>
      <c r="P5" s="4" t="n"/>
      <c r="Q5" s="4" t="n"/>
      <c r="R5" s="4" t="n"/>
    </row>
    <row r="6" ht="22" customHeight="1">
      <c r="B6" s="5" t="inlineStr">
        <is>
          <t>$10,666,685</t>
        </is>
      </c>
      <c r="C6" s="6" t="n"/>
      <c r="D6" s="6" t="n"/>
      <c r="E6" s="6" t="n"/>
      <c r="F6" s="5" t="inlineStr">
        <is>
          <t>19,960</t>
        </is>
      </c>
      <c r="G6" s="6" t="n"/>
      <c r="H6" s="6" t="n"/>
      <c r="I6" s="6" t="n"/>
      <c r="K6" s="5" t="inlineStr">
        <is>
          <t>$534.40</t>
        </is>
      </c>
      <c r="L6" s="6" t="n"/>
      <c r="M6" s="6" t="n"/>
      <c r="N6" s="6" t="n"/>
      <c r="O6" s="5" t="inlineStr">
        <is>
          <t>4,338</t>
        </is>
      </c>
      <c r="P6" s="6" t="n"/>
      <c r="Q6" s="6" t="n"/>
      <c r="R6" s="6" t="n"/>
    </row>
    <row r="7" ht="22" customHeight="1">
      <c r="B7" s="7" t="inlineStr">
        <is>
          <t>▲ +98.2% Nov Holiday Peak</t>
        </is>
      </c>
      <c r="C7" s="6" t="n"/>
      <c r="D7" s="6" t="n"/>
      <c r="E7" s="6" t="n"/>
      <c r="F7" s="7" t="inlineStr">
        <is>
          <t>📦 530,104 Line Items</t>
        </is>
      </c>
      <c r="G7" s="6" t="n"/>
      <c r="H7" s="6" t="n"/>
      <c r="I7" s="6" t="n"/>
      <c r="K7" s="7" t="inlineStr">
        <is>
          <t>🛒 $3.91 Avg Item Price</t>
        </is>
      </c>
      <c r="L7" s="6" t="n"/>
      <c r="M7" s="6" t="n"/>
      <c r="N7" s="6" t="n"/>
      <c r="O7" s="7" t="inlineStr">
        <is>
          <t>👥 65.4% Repeat Rate</t>
        </is>
      </c>
      <c r="P7" s="6" t="n"/>
      <c r="Q7" s="6" t="n"/>
      <c r="R7" s="6" t="n"/>
    </row>
    <row r="8" ht="15" customHeight="1"/>
    <row r="9" ht="22" customHeight="1">
      <c r="B9" s="8" t="inlineStr">
        <is>
          <t>📈 Monthly Sales Revenue Trend (2010 - 2011)</t>
        </is>
      </c>
      <c r="K9" s="8" t="inlineStr">
        <is>
          <t>🏆 Top 10 Bestselling Products by Revenue</t>
        </is>
      </c>
    </row>
    <row r="10" ht="10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20" customHeight="1"/>
    <row r="32" ht="22" customHeight="1">
      <c r="B32" s="8" t="inlineStr">
        <is>
          <t>🌍 Global Market Revenue Distribution</t>
        </is>
      </c>
      <c r="K32" s="8" t="inlineStr">
        <is>
          <t>💰 Revenue Contribution by Order Basket Size</t>
        </is>
      </c>
    </row>
    <row r="33" ht="10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22" customHeight="1"/>
    <row r="55" ht="24" customHeight="1">
      <c r="B55" s="8" t="inlineStr">
        <is>
          <t>🎯 STRATEGIC EXECUTIVE ACTION PLAN &amp; CORE RECOMMENDATIONS</t>
        </is>
      </c>
    </row>
    <row r="56" ht="10" customHeight="1"/>
    <row r="57" ht="24" customHeight="1">
      <c r="B57" s="9" t="inlineStr">
        <is>
          <t>1. Q4 Seasonality Ramp</t>
        </is>
      </c>
      <c r="C57" s="10" t="n"/>
      <c r="D57" s="10" t="n"/>
      <c r="E57" s="11" t="inlineStr">
        <is>
          <t>Revenue spikes exponentially starting September and peaks in November ($1.51M, +98.2% MoM). Finalize supplier purchase orders and packaging by late August.</t>
        </is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</row>
    <row r="58" ht="24" customHeight="1">
      <c r="B58" s="9" t="inlineStr">
        <is>
          <t>2. Pareto 80/20 Inventory</t>
        </is>
      </c>
      <c r="C58" s="10" t="n"/>
      <c r="D58" s="10" t="n"/>
      <c r="E58" s="11" t="inlineStr">
        <is>
          <t>The top 19.8% of product SKUs generate 80.0% of total revenue. Automate re-order triggers for top 50 hero SKUs to prevent out-of-stock revenue loss.</t>
        </is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</row>
    <row r="59" ht="24" customHeight="1">
      <c r="B59" s="9" t="inlineStr">
        <is>
          <t>3. European Wholesale Expansion</t>
        </is>
      </c>
      <c r="C59" s="10" t="n"/>
      <c r="D59" s="10" t="n"/>
      <c r="E59" s="11" t="inlineStr">
        <is>
          <t>Netherlands ($285k), Germany ($228k), and France ($209k) exhibit AOVs &gt;$2,000+ (3.2x UK average). Deploy dedicated localized B2B wholesale portals.</t>
        </is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</row>
    <row r="60" ht="24" customHeight="1">
      <c r="B60" s="9" t="inlineStr">
        <is>
          <t>4. RFM Customer Win-Back</t>
        </is>
      </c>
      <c r="C60" s="10" t="n"/>
      <c r="D60" s="10" t="n"/>
      <c r="E60" s="11" t="inlineStr">
        <is>
          <t>628 high-value customers ($1.45M) are in the At Risk segment (&gt;90 days inactive). Trigger automated 60/90-day win-back email incentives.</t>
        </is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</row>
  </sheetData>
  <mergeCells count="20">
    <mergeCell ref="E58:R58"/>
    <mergeCell ref="B60:D60"/>
    <mergeCell ref="B57:D57"/>
    <mergeCell ref="B6:E6"/>
    <mergeCell ref="K7:N7"/>
    <mergeCell ref="B5:E5"/>
    <mergeCell ref="K6:N6"/>
    <mergeCell ref="O7:R7"/>
    <mergeCell ref="B7:E7"/>
    <mergeCell ref="O6:R6"/>
    <mergeCell ref="K5:N5"/>
    <mergeCell ref="F6:I6"/>
    <mergeCell ref="E60:R60"/>
    <mergeCell ref="F7:I7"/>
    <mergeCell ref="E59:R59"/>
    <mergeCell ref="O5:R5"/>
    <mergeCell ref="F5:I5"/>
    <mergeCell ref="B59:D59"/>
    <mergeCell ref="E57:R57"/>
    <mergeCell ref="B58:D5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t="inlineStr">
        <is>
          <t>Month</t>
        </is>
      </c>
      <c r="B1" t="inlineStr">
        <is>
          <t>Revenue ($k)</t>
        </is>
      </c>
      <c r="C1" t="inlineStr">
        <is>
          <t>Orders</t>
        </is>
      </c>
    </row>
    <row r="2">
      <c r="A2" t="inlineStr">
        <is>
          <t>2010-12</t>
        </is>
      </c>
      <c r="B2" t="n">
        <v>823.7</v>
      </c>
      <c r="C2" t="n">
        <v>1559</v>
      </c>
    </row>
    <row r="3">
      <c r="A3" t="inlineStr">
        <is>
          <t>2011-01</t>
        </is>
      </c>
      <c r="B3" t="n">
        <v>691.4</v>
      </c>
      <c r="C3" t="n">
        <v>1086</v>
      </c>
    </row>
    <row r="4">
      <c r="A4" t="inlineStr">
        <is>
          <t>2011-02</t>
        </is>
      </c>
      <c r="B4" t="n">
        <v>523.6</v>
      </c>
      <c r="C4" t="n">
        <v>1100</v>
      </c>
    </row>
    <row r="5">
      <c r="A5" t="inlineStr">
        <is>
          <t>2011-03</t>
        </is>
      </c>
      <c r="B5" t="n">
        <v>717.6</v>
      </c>
      <c r="C5" t="n">
        <v>1454</v>
      </c>
    </row>
    <row r="6">
      <c r="A6" t="inlineStr">
        <is>
          <t>2011-04</t>
        </is>
      </c>
      <c r="B6" t="n">
        <v>537.8</v>
      </c>
      <c r="C6" t="n">
        <v>1246</v>
      </c>
    </row>
    <row r="7">
      <c r="A7" t="inlineStr">
        <is>
          <t>2011-05</t>
        </is>
      </c>
      <c r="B7" t="n">
        <v>770.5</v>
      </c>
      <c r="C7" t="n">
        <v>1681</v>
      </c>
    </row>
    <row r="8">
      <c r="A8" t="inlineStr">
        <is>
          <t>2011-06</t>
        </is>
      </c>
      <c r="B8" t="n">
        <v>761.7</v>
      </c>
      <c r="C8" t="n">
        <v>1533</v>
      </c>
    </row>
    <row r="9">
      <c r="A9" t="inlineStr">
        <is>
          <t>2011-07</t>
        </is>
      </c>
      <c r="B9" t="n">
        <v>719.2</v>
      </c>
      <c r="C9" t="n">
        <v>1475</v>
      </c>
    </row>
    <row r="10">
      <c r="A10" t="inlineStr">
        <is>
          <t>2011-08</t>
        </is>
      </c>
      <c r="B10" t="n">
        <v>759.1</v>
      </c>
      <c r="C10" t="n">
        <v>1361</v>
      </c>
    </row>
    <row r="11">
      <c r="A11" t="inlineStr">
        <is>
          <t>2011-09</t>
        </is>
      </c>
      <c r="B11" t="n">
        <v>1058.6</v>
      </c>
      <c r="C11" t="n">
        <v>1837</v>
      </c>
    </row>
    <row r="12">
      <c r="A12" t="inlineStr">
        <is>
          <t>2011-10</t>
        </is>
      </c>
      <c r="B12" t="n">
        <v>1155</v>
      </c>
      <c r="C12" t="n">
        <v>2040</v>
      </c>
    </row>
    <row r="13">
      <c r="A13" t="inlineStr">
        <is>
          <t>2011-11</t>
        </is>
      </c>
      <c r="B13" t="n">
        <v>1509.5</v>
      </c>
      <c r="C13" t="n">
        <v>2769</v>
      </c>
    </row>
    <row r="14">
      <c r="A14" t="inlineStr">
        <is>
          <t>2011-12</t>
        </is>
      </c>
      <c r="B14" t="n">
        <v>638.8</v>
      </c>
      <c r="C14" t="n">
        <v>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t="inlineStr">
        <is>
          <t>Product</t>
        </is>
      </c>
      <c r="B1" t="inlineStr">
        <is>
          <t>Revenue ($k)</t>
        </is>
      </c>
    </row>
    <row r="2">
      <c r="A2" t="inlineStr">
        <is>
          <t>DOTCOM POSTAGE</t>
        </is>
      </c>
      <c r="B2" t="n">
        <v>206.2</v>
      </c>
    </row>
    <row r="3">
      <c r="A3" t="inlineStr">
        <is>
          <t>REGENCY CAKESTAND ..</t>
        </is>
      </c>
      <c r="B3" t="n">
        <v>174.5</v>
      </c>
    </row>
    <row r="4">
      <c r="A4" t="inlineStr">
        <is>
          <t>PAPER CRAFT , LITT..</t>
        </is>
      </c>
      <c r="B4" t="n">
        <v>168.5</v>
      </c>
    </row>
    <row r="5">
      <c r="A5" t="inlineStr">
        <is>
          <t>WHITE HANGING HEAR..</t>
        </is>
      </c>
      <c r="B5" t="n">
        <v>106.3</v>
      </c>
    </row>
    <row r="6">
      <c r="A6" t="inlineStr">
        <is>
          <t>PARTY BUNTING</t>
        </is>
      </c>
      <c r="B6" t="n">
        <v>99.5</v>
      </c>
    </row>
    <row r="7">
      <c r="A7" t="inlineStr">
        <is>
          <t>JUMBO BAG RED RETR..</t>
        </is>
      </c>
      <c r="B7" t="n">
        <v>94.3</v>
      </c>
    </row>
    <row r="8">
      <c r="A8" t="inlineStr">
        <is>
          <t>MEDIUM CERAMIC TOP..</t>
        </is>
      </c>
      <c r="B8" t="n">
        <v>81.7</v>
      </c>
    </row>
    <row r="9">
      <c r="A9" t="inlineStr">
        <is>
          <t>Manual</t>
        </is>
      </c>
      <c r="B9" t="n">
        <v>78.09999999999999</v>
      </c>
    </row>
    <row r="10">
      <c r="A10" t="inlineStr">
        <is>
          <t>POSTAGE</t>
        </is>
      </c>
      <c r="B10" t="n">
        <v>78.09999999999999</v>
      </c>
    </row>
    <row r="11">
      <c r="A11" t="inlineStr">
        <is>
          <t>RABBIT NIGHT LIGHT</t>
        </is>
      </c>
      <c r="B11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t="inlineStr">
        <is>
          <t>Region</t>
        </is>
      </c>
      <c r="B1" t="inlineStr">
        <is>
          <t>Revenue ($M)</t>
        </is>
      </c>
    </row>
    <row r="2">
      <c r="A2" t="inlineStr">
        <is>
          <t>UK</t>
        </is>
      </c>
      <c r="B2" t="n">
        <v>9.029999999999999</v>
      </c>
    </row>
    <row r="3">
      <c r="A3" t="inlineStr">
        <is>
          <t>Top EU</t>
        </is>
      </c>
      <c r="B3" t="n">
        <v>1.34</v>
      </c>
    </row>
    <row r="4">
      <c r="A4" t="inlineStr">
        <is>
          <t>Rest</t>
        </is>
      </c>
      <c r="B4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t="inlineStr">
        <is>
          <t>Tier</t>
        </is>
      </c>
      <c r="B1" t="inlineStr">
        <is>
          <t>Revenue ($k)</t>
        </is>
      </c>
    </row>
    <row r="2">
      <c r="A2" t="inlineStr">
        <is>
          <t>&lt;$50</t>
        </is>
      </c>
      <c r="B2" t="n">
        <v>184</v>
      </c>
    </row>
    <row r="3">
      <c r="A3" t="inlineStr">
        <is>
          <t>$50-150</t>
        </is>
      </c>
      <c r="B3" t="n">
        <v>812</v>
      </c>
    </row>
    <row r="4">
      <c r="A4" t="inlineStr">
        <is>
          <t>$150-300</t>
        </is>
      </c>
      <c r="B4" t="n">
        <v>1420</v>
      </c>
    </row>
    <row r="5">
      <c r="A5" t="inlineStr">
        <is>
          <t>$300-500</t>
        </is>
      </c>
      <c r="B5" t="n">
        <v>1680</v>
      </c>
    </row>
    <row r="6">
      <c r="A6" t="inlineStr">
        <is>
          <t>$500-1k</t>
        </is>
      </c>
      <c r="B6" t="n">
        <v>2190</v>
      </c>
    </row>
    <row r="7">
      <c r="A7" t="inlineStr">
        <is>
          <t>$1k-5k</t>
        </is>
      </c>
      <c r="B7" t="n">
        <v>3140</v>
      </c>
    </row>
    <row r="8">
      <c r="A8" t="inlineStr">
        <is>
          <t>&gt;$5k</t>
        </is>
      </c>
      <c r="B8" t="n">
        <v>1240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9" customWidth="1" min="2" max="2"/>
    <col width="14" customWidth="1" min="3" max="3"/>
    <col width="16" customWidth="1" min="4" max="4"/>
    <col width="22" customWidth="1" min="5" max="5"/>
    <col width="25" customWidth="1" min="6" max="6"/>
    <col width="24" customWidth="1" min="7" max="7"/>
  </cols>
  <sheetData>
    <row r="1">
      <c r="A1" s="1" t="inlineStr">
        <is>
          <t>TOP 100 PRODUCTS BY REVENUE PERFORMANCE</t>
        </is>
      </c>
    </row>
    <row r="2"/>
    <row r="3">
      <c r="A3" s="12" t="inlineStr">
        <is>
          <t>Rank</t>
        </is>
      </c>
      <c r="B3" s="12" t="inlineStr">
        <is>
          <t>Product Description</t>
        </is>
      </c>
      <c r="C3" s="12" t="inlineStr">
        <is>
          <t>Units Sold</t>
        </is>
      </c>
      <c r="D3" s="12" t="inlineStr">
        <is>
          <t>Total Orders</t>
        </is>
      </c>
      <c r="E3" s="12" t="inlineStr">
        <is>
          <t>Gross Revenue ($)</t>
        </is>
      </c>
      <c r="F3" s="12" t="inlineStr">
        <is>
          <t>Revenue Share</t>
        </is>
      </c>
      <c r="G3" s="12" t="inlineStr">
        <is>
          <t>Cumulative %</t>
        </is>
      </c>
    </row>
    <row r="4">
      <c r="A4" s="13" t="inlineStr">
        <is>
          <t>#1</t>
        </is>
      </c>
      <c r="B4" t="inlineStr">
        <is>
          <t>DOTCOM POSTAGE</t>
        </is>
      </c>
      <c r="C4" s="14" t="n">
        <v>706</v>
      </c>
      <c r="D4" s="14" t="n">
        <v>706</v>
      </c>
      <c r="E4" s="15" t="n">
        <v>206248.77</v>
      </c>
      <c r="F4" s="16" t="n">
        <v>0.01933578978796724</v>
      </c>
      <c r="G4" s="16" t="n">
        <v>0.01933578978796724</v>
      </c>
    </row>
    <row r="5">
      <c r="A5" s="13" t="inlineStr">
        <is>
          <t>#2</t>
        </is>
      </c>
      <c r="B5" t="inlineStr">
        <is>
          <t>REGENCY CAKESTAND 3 TIER</t>
        </is>
      </c>
      <c r="C5" s="14" t="n">
        <v>13879</v>
      </c>
      <c r="D5" s="14" t="n">
        <v>1988</v>
      </c>
      <c r="E5" s="15" t="n">
        <v>174484.74</v>
      </c>
      <c r="F5" s="16" t="n">
        <v>0.01635791696526539</v>
      </c>
      <c r="G5" s="16" t="n">
        <v>0.03569370675323263</v>
      </c>
    </row>
    <row r="6">
      <c r="A6" s="13" t="inlineStr">
        <is>
          <t>#3</t>
        </is>
      </c>
      <c r="B6" t="inlineStr">
        <is>
          <t>PAPER CRAFT , LITTLE BIRDIE</t>
        </is>
      </c>
      <c r="C6" s="14" t="n">
        <v>80995</v>
      </c>
      <c r="D6" s="14" t="n">
        <v>1</v>
      </c>
      <c r="E6" s="15" t="n">
        <v>168469.6</v>
      </c>
      <c r="F6" s="16" t="n">
        <v>0.0157939985351812</v>
      </c>
      <c r="G6" s="16" t="n">
        <v>0.05148770528841383</v>
      </c>
    </row>
    <row r="7">
      <c r="A7" s="13" t="inlineStr">
        <is>
          <t>#4</t>
        </is>
      </c>
      <c r="B7" t="inlineStr">
        <is>
          <t>WHITE HANGING HEART T-LIGHT HOLDER</t>
        </is>
      </c>
      <c r="C7" s="14" t="n">
        <v>37891</v>
      </c>
      <c r="D7" s="14" t="n">
        <v>2256</v>
      </c>
      <c r="E7" s="15" t="n">
        <v>106292.77</v>
      </c>
      <c r="F7" s="16" t="n">
        <v>0.00996493049001335</v>
      </c>
      <c r="G7" s="16" t="n">
        <v>0.06145263577842718</v>
      </c>
    </row>
    <row r="8">
      <c r="A8" s="13" t="inlineStr">
        <is>
          <t>#5</t>
        </is>
      </c>
      <c r="B8" t="inlineStr">
        <is>
          <t>PARTY BUNTING</t>
        </is>
      </c>
      <c r="C8" s="14" t="n">
        <v>18295</v>
      </c>
      <c r="D8" s="14" t="n">
        <v>1685</v>
      </c>
      <c r="E8" s="15" t="n">
        <v>99504.33</v>
      </c>
      <c r="F8" s="16" t="n">
        <v>0.00932851530640654</v>
      </c>
      <c r="G8" s="16" t="n">
        <v>0.07078115108483371</v>
      </c>
    </row>
    <row r="9">
      <c r="A9" s="13" t="inlineStr">
        <is>
          <t>#6</t>
        </is>
      </c>
      <c r="B9" t="inlineStr">
        <is>
          <t>JUMBO BAG RED RETROSPOT</t>
        </is>
      </c>
      <c r="C9" s="14" t="n">
        <v>48474</v>
      </c>
      <c r="D9" s="14" t="n">
        <v>2089</v>
      </c>
      <c r="E9" s="15" t="n">
        <v>94340.05</v>
      </c>
      <c r="F9" s="16" t="n">
        <v>0.00884436486766112</v>
      </c>
      <c r="G9" s="16" t="n">
        <v>0.07962551595249484</v>
      </c>
    </row>
    <row r="10">
      <c r="A10" s="13" t="inlineStr">
        <is>
          <t>#7</t>
        </is>
      </c>
      <c r="B10" t="inlineStr">
        <is>
          <t>MEDIUM CERAMIC TOP STORAGE JAR</t>
        </is>
      </c>
      <c r="C10" s="14" t="n">
        <v>78033</v>
      </c>
      <c r="D10" s="14" t="n">
        <v>247</v>
      </c>
      <c r="E10" s="15" t="n">
        <v>81700.92000000001</v>
      </c>
      <c r="F10" s="16" t="n">
        <v>0.00765944841563675</v>
      </c>
      <c r="G10" s="16" t="n">
        <v>0.08728496436813159</v>
      </c>
    </row>
    <row r="11">
      <c r="A11" s="13" t="inlineStr">
        <is>
          <t>#8</t>
        </is>
      </c>
      <c r="B11" t="inlineStr">
        <is>
          <t>Manual</t>
        </is>
      </c>
      <c r="C11" s="14" t="n">
        <v>7225</v>
      </c>
      <c r="D11" s="14" t="n">
        <v>290</v>
      </c>
      <c r="E11" s="15" t="n">
        <v>78112.82000000001</v>
      </c>
      <c r="F11" s="16" t="n">
        <v>0.007323064604289874</v>
      </c>
      <c r="G11" s="16" t="n">
        <v>0.09460802897242146</v>
      </c>
    </row>
    <row r="12">
      <c r="A12" s="13" t="inlineStr">
        <is>
          <t>#9</t>
        </is>
      </c>
      <c r="B12" t="inlineStr">
        <is>
          <t>POSTAGE</t>
        </is>
      </c>
      <c r="C12" s="14" t="n">
        <v>3150</v>
      </c>
      <c r="D12" s="14" t="n">
        <v>1126</v>
      </c>
      <c r="E12" s="15" t="n">
        <v>78101.88</v>
      </c>
      <c r="F12" s="16" t="n">
        <v>0.007322038981008434</v>
      </c>
      <c r="G12" s="16" t="n">
        <v>0.1019300679534299</v>
      </c>
    </row>
    <row r="13">
      <c r="A13" s="13" t="inlineStr">
        <is>
          <t>#10</t>
        </is>
      </c>
      <c r="B13" t="inlineStr">
        <is>
          <t>RABBIT NIGHT LIGHT</t>
        </is>
      </c>
      <c r="C13" s="14" t="n">
        <v>30788</v>
      </c>
      <c r="D13" s="14" t="n">
        <v>994</v>
      </c>
      <c r="E13" s="15" t="n">
        <v>66964.99000000001</v>
      </c>
      <c r="F13" s="16" t="n">
        <v>0.006277957292997812</v>
      </c>
      <c r="G13" s="16" t="n">
        <v>0.1082080252464277</v>
      </c>
    </row>
    <row r="14">
      <c r="A14" s="13" t="inlineStr">
        <is>
          <t>#11</t>
        </is>
      </c>
      <c r="B14" t="inlineStr">
        <is>
          <t>PAPER CHAIN KIT 50'S CHRISTMAS</t>
        </is>
      </c>
      <c r="C14" s="14" t="n">
        <v>19355</v>
      </c>
      <c r="D14" s="14" t="n">
        <v>1160</v>
      </c>
      <c r="E14" s="15" t="n">
        <v>64952.29</v>
      </c>
      <c r="F14" s="16" t="n">
        <v>0.00608926698417201</v>
      </c>
      <c r="G14" s="16" t="n">
        <v>0.1142972922305997</v>
      </c>
    </row>
    <row r="15">
      <c r="A15" s="13" t="inlineStr">
        <is>
          <t>#12</t>
        </is>
      </c>
      <c r="B15" t="inlineStr">
        <is>
          <t>ASSORTED COLOUR BIRD ORNAMENT</t>
        </is>
      </c>
      <c r="C15" s="14" t="n">
        <v>36461</v>
      </c>
      <c r="D15" s="14" t="n">
        <v>1455</v>
      </c>
      <c r="E15" s="15" t="n">
        <v>59094.93</v>
      </c>
      <c r="F15" s="16" t="n">
        <v>0.005540140404302236</v>
      </c>
      <c r="G15" s="16" t="n">
        <v>0.1198374326349019</v>
      </c>
    </row>
    <row r="16">
      <c r="A16" s="13" t="inlineStr">
        <is>
          <t>#13</t>
        </is>
      </c>
      <c r="B16" t="inlineStr">
        <is>
          <t>CHILLI LIGHTS</t>
        </is>
      </c>
      <c r="C16" s="14" t="n">
        <v>10306</v>
      </c>
      <c r="D16" s="14" t="n">
        <v>661</v>
      </c>
      <c r="E16" s="15" t="n">
        <v>54117.76</v>
      </c>
      <c r="F16" s="16" t="n">
        <v>0.005073531498663783</v>
      </c>
      <c r="G16" s="16" t="n">
        <v>0.1249109641335657</v>
      </c>
    </row>
    <row r="17">
      <c r="A17" s="13" t="inlineStr">
        <is>
          <t>#14</t>
        </is>
      </c>
      <c r="B17" t="inlineStr">
        <is>
          <t>SPOTTY BUNTING</t>
        </is>
      </c>
      <c r="C17" s="14" t="n">
        <v>8327</v>
      </c>
      <c r="D17" s="14" t="n">
        <v>1140</v>
      </c>
      <c r="E17" s="15" t="n">
        <v>42548.13</v>
      </c>
      <c r="F17" s="16" t="n">
        <v>0.003988880503632107</v>
      </c>
      <c r="G17" s="16" t="n">
        <v>0.1288998446371978</v>
      </c>
    </row>
    <row r="18">
      <c r="A18" s="13" t="inlineStr">
        <is>
          <t>#15</t>
        </is>
      </c>
      <c r="B18" t="inlineStr">
        <is>
          <t>JUMBO BAG PINK POLKADOT</t>
        </is>
      </c>
      <c r="C18" s="14" t="n">
        <v>21465</v>
      </c>
      <c r="D18" s="14" t="n">
        <v>1218</v>
      </c>
      <c r="E18" s="15" t="n">
        <v>42436.24</v>
      </c>
      <c r="F18" s="16" t="n">
        <v>0.00397839083370886</v>
      </c>
      <c r="G18" s="16" t="n">
        <v>0.1328782354709067</v>
      </c>
    </row>
    <row r="19">
      <c r="A19" s="13" t="inlineStr">
        <is>
          <t>#16</t>
        </is>
      </c>
      <c r="B19" t="inlineStr">
        <is>
          <t>BLACK RECORD COVER FRAME</t>
        </is>
      </c>
      <c r="C19" s="14" t="n">
        <v>11656</v>
      </c>
      <c r="D19" s="14" t="n">
        <v>375</v>
      </c>
      <c r="E19" s="15" t="n">
        <v>40652.13</v>
      </c>
      <c r="F19" s="16" t="n">
        <v>0.003811130801473951</v>
      </c>
      <c r="G19" s="16" t="n">
        <v>0.1366893662723806</v>
      </c>
    </row>
    <row r="20">
      <c r="A20" s="13" t="inlineStr">
        <is>
          <t>#17</t>
        </is>
      </c>
      <c r="B20" t="inlineStr">
        <is>
          <t>PICNIC BASKET WICKER 60 PIECES</t>
        </is>
      </c>
      <c r="C20" s="14" t="n">
        <v>61</v>
      </c>
      <c r="D20" s="14" t="n">
        <v>2</v>
      </c>
      <c r="E20" s="15" t="n">
        <v>39619.5</v>
      </c>
      <c r="F20" s="16" t="n">
        <v>0.003714321901189364</v>
      </c>
      <c r="G20" s="16" t="n">
        <v>0.14040368817357</v>
      </c>
    </row>
    <row r="21">
      <c r="A21" s="13" t="inlineStr">
        <is>
          <t>#18</t>
        </is>
      </c>
      <c r="B21" t="inlineStr">
        <is>
          <t>DOORMAT KEEP CALM AND COME IN</t>
        </is>
      </c>
      <c r="C21" s="14" t="n">
        <v>5491</v>
      </c>
      <c r="D21" s="14" t="n">
        <v>728</v>
      </c>
      <c r="E21" s="15" t="n">
        <v>38166.64</v>
      </c>
      <c r="F21" s="16" t="n">
        <v>0.003578116504418533</v>
      </c>
      <c r="G21" s="16" t="n">
        <v>0.1439818046779885</v>
      </c>
    </row>
    <row r="22">
      <c r="A22" s="13" t="inlineStr">
        <is>
          <t>#19</t>
        </is>
      </c>
      <c r="B22" t="inlineStr">
        <is>
          <t>SET OF 3 CAKE TINS PANTRY DESIGN</t>
        </is>
      </c>
      <c r="C22" s="14" t="n">
        <v>7493</v>
      </c>
      <c r="D22" s="14" t="n">
        <v>1385</v>
      </c>
      <c r="E22" s="15" t="n">
        <v>38158.39</v>
      </c>
      <c r="F22" s="16" t="n">
        <v>0.003577343068214521</v>
      </c>
      <c r="G22" s="16" t="n">
        <v>0.147559147746203</v>
      </c>
    </row>
    <row r="23">
      <c r="A23" s="13" t="inlineStr">
        <is>
          <t>#20</t>
        </is>
      </c>
      <c r="B23" t="inlineStr">
        <is>
          <t>JAM MAKING SET WITH JARS</t>
        </is>
      </c>
      <c r="C23" s="14" t="n">
        <v>8706</v>
      </c>
      <c r="D23" s="14" t="n">
        <v>1132</v>
      </c>
      <c r="E23" s="15" t="n">
        <v>37128.88</v>
      </c>
      <c r="F23" s="16" t="n">
        <v>0.003480826667439815</v>
      </c>
      <c r="G23" s="16" t="n">
        <v>0.1510399744136428</v>
      </c>
    </row>
    <row r="24">
      <c r="A24" s="13" t="inlineStr">
        <is>
          <t>#21</t>
        </is>
      </c>
      <c r="B24" t="inlineStr">
        <is>
          <t>WOOD BLACK BOARD ANT WHITE FINISH</t>
        </is>
      </c>
      <c r="C24" s="14" t="n">
        <v>6020</v>
      </c>
      <c r="D24" s="14" t="n">
        <v>685</v>
      </c>
      <c r="E24" s="15" t="n">
        <v>36030.22</v>
      </c>
      <c r="F24" s="16" t="n">
        <v>0.003377827465027854</v>
      </c>
      <c r="G24" s="16" t="n">
        <v>0.1544178018786707</v>
      </c>
    </row>
    <row r="25">
      <c r="A25" s="13" t="inlineStr">
        <is>
          <t>#22</t>
        </is>
      </c>
      <c r="B25" t="inlineStr">
        <is>
          <t>LUNCH BAG RED RETROSPOT</t>
        </is>
      </c>
      <c r="C25" s="14" t="n">
        <v>19353</v>
      </c>
      <c r="D25" s="14" t="n">
        <v>1564</v>
      </c>
      <c r="E25" s="15" t="n">
        <v>35752.01</v>
      </c>
      <c r="F25" s="16" t="n">
        <v>0.003351745321231747</v>
      </c>
      <c r="G25" s="16" t="n">
        <v>0.1577695471999024</v>
      </c>
    </row>
    <row r="26">
      <c r="A26" s="13" t="inlineStr">
        <is>
          <t>#23</t>
        </is>
      </c>
      <c r="B26" t="inlineStr">
        <is>
          <t>POPCORN HOLDER</t>
        </is>
      </c>
      <c r="C26" s="14" t="n">
        <v>36761</v>
      </c>
      <c r="D26" s="14" t="n">
        <v>803</v>
      </c>
      <c r="E26" s="15" t="n">
        <v>34298.87</v>
      </c>
      <c r="F26" s="16" t="n">
        <v>0.0032155136745049</v>
      </c>
      <c r="G26" s="16" t="n">
        <v>0.1609850608744074</v>
      </c>
    </row>
    <row r="27">
      <c r="A27" s="13" t="inlineStr">
        <is>
          <t>#24</t>
        </is>
      </c>
      <c r="B27" t="inlineStr">
        <is>
          <t>VICTORIAN GLASS HANGING T-LIGHT</t>
        </is>
      </c>
      <c r="C27" s="14" t="n">
        <v>24304</v>
      </c>
      <c r="D27" s="14" t="n">
        <v>1037</v>
      </c>
      <c r="E27" s="15" t="n">
        <v>33187.97</v>
      </c>
      <c r="F27" s="16" t="n">
        <v>0.003111366974015714</v>
      </c>
      <c r="G27" s="16" t="n">
        <v>0.1640964278484231</v>
      </c>
    </row>
    <row r="28">
      <c r="A28" s="13" t="inlineStr">
        <is>
          <t>#25</t>
        </is>
      </c>
      <c r="B28" t="inlineStr">
        <is>
          <t>HOT WATER BOTTLE TEA AND SYMPATHY</t>
        </is>
      </c>
      <c r="C28" s="14" t="n">
        <v>5747</v>
      </c>
      <c r="D28" s="14" t="n">
        <v>643</v>
      </c>
      <c r="E28" s="15" t="n">
        <v>33002.59</v>
      </c>
      <c r="F28" s="16" t="n">
        <v>0.003093987628136981</v>
      </c>
      <c r="G28" s="16" t="n">
        <v>0.1671904154765601</v>
      </c>
    </row>
    <row r="29">
      <c r="A29" s="13" t="inlineStr">
        <is>
          <t>#26</t>
        </is>
      </c>
      <c r="B29" t="inlineStr">
        <is>
          <t>PAPER CHAIN KIT VINTAGE CHRISTMAS</t>
        </is>
      </c>
      <c r="C29" s="14" t="n">
        <v>10604</v>
      </c>
      <c r="D29" s="14" t="n">
        <v>820</v>
      </c>
      <c r="E29" s="15" t="n">
        <v>32873.34</v>
      </c>
      <c r="F29" s="16" t="n">
        <v>0.003081870460940809</v>
      </c>
      <c r="G29" s="16" t="n">
        <v>0.1702722859375009</v>
      </c>
    </row>
    <row r="30">
      <c r="A30" s="13" t="inlineStr">
        <is>
          <t>#27</t>
        </is>
      </c>
      <c r="B30" t="inlineStr">
        <is>
          <t>CHOCOLATE HOT WATER BOTTLE</t>
        </is>
      </c>
      <c r="C30" s="14" t="n">
        <v>6025</v>
      </c>
      <c r="D30" s="14" t="n">
        <v>858</v>
      </c>
      <c r="E30" s="15" t="n">
        <v>32866.18</v>
      </c>
      <c r="F30" s="16" t="n">
        <v>0.003081199212065571</v>
      </c>
      <c r="G30" s="16" t="n">
        <v>0.1733534851495664</v>
      </c>
    </row>
    <row r="31">
      <c r="A31" s="13" t="inlineStr">
        <is>
          <t>#28</t>
        </is>
      </c>
      <c r="B31" t="inlineStr">
        <is>
          <t>JUMBO BAG STRAWBERRY</t>
        </is>
      </c>
      <c r="C31" s="14" t="n">
        <v>17319</v>
      </c>
      <c r="D31" s="14" t="n">
        <v>822</v>
      </c>
      <c r="E31" s="15" t="n">
        <v>32802.53</v>
      </c>
      <c r="F31" s="16" t="n">
        <v>0.003075232034564322</v>
      </c>
      <c r="G31" s="16" t="n">
        <v>0.1764287171841308</v>
      </c>
    </row>
    <row r="32">
      <c r="A32" s="13" t="inlineStr">
        <is>
          <t>#29</t>
        </is>
      </c>
      <c r="B32" t="inlineStr">
        <is>
          <t>HEART OF WICKER SMALL</t>
        </is>
      </c>
      <c r="C32" s="14" t="n">
        <v>17971</v>
      </c>
      <c r="D32" s="14" t="n">
        <v>1201</v>
      </c>
      <c r="E32" s="15" t="n">
        <v>32107.8</v>
      </c>
      <c r="F32" s="16" t="n">
        <v>0.003010101206199167</v>
      </c>
      <c r="G32" s="16" t="n">
        <v>0.1794388183903299</v>
      </c>
    </row>
    <row r="33">
      <c r="A33" s="13" t="inlineStr">
        <is>
          <t>#30</t>
        </is>
      </c>
      <c r="B33" t="inlineStr">
        <is>
          <t>SET OF 3 REGENCY CAKE TINS</t>
        </is>
      </c>
      <c r="C33" s="14" t="n">
        <v>6357</v>
      </c>
      <c r="D33" s="14" t="n">
        <v>873</v>
      </c>
      <c r="E33" s="15" t="n">
        <v>31177.95</v>
      </c>
      <c r="F33" s="16" t="n">
        <v>0.002922927914768913</v>
      </c>
      <c r="G33" s="16" t="n">
        <v>0.1823617463050988</v>
      </c>
    </row>
    <row r="34">
      <c r="A34" s="13" t="inlineStr">
        <is>
          <t>#31</t>
        </is>
      </c>
      <c r="B34" t="inlineStr">
        <is>
          <t>JUMBO STORAGE BAG SUKI</t>
        </is>
      </c>
      <c r="C34" s="14" t="n">
        <v>13654</v>
      </c>
      <c r="D34" s="14" t="n">
        <v>1184</v>
      </c>
      <c r="E34" s="15" t="n">
        <v>30770.12</v>
      </c>
      <c r="F34" s="16" t="n">
        <v>0.002884693916334757</v>
      </c>
      <c r="G34" s="16" t="n">
        <v>0.1852464402214336</v>
      </c>
    </row>
    <row r="35">
      <c r="A35" s="13" t="inlineStr">
        <is>
          <t>#32</t>
        </is>
      </c>
      <c r="B35" t="inlineStr">
        <is>
          <t>ALARM CLOCK BAKELIKE RED</t>
        </is>
      </c>
      <c r="C35" s="14" t="n">
        <v>7815</v>
      </c>
      <c r="D35" s="14" t="n">
        <v>1051</v>
      </c>
      <c r="E35" s="15" t="n">
        <v>30701.12</v>
      </c>
      <c r="F35" s="16" t="n">
        <v>0.002878225177173938</v>
      </c>
      <c r="G35" s="16" t="n">
        <v>0.1881246653986076</v>
      </c>
    </row>
    <row r="36">
      <c r="A36" s="13" t="inlineStr">
        <is>
          <t>#33</t>
        </is>
      </c>
      <c r="B36" t="inlineStr">
        <is>
          <t>JUMBO BAG APPLES</t>
        </is>
      </c>
      <c r="C36" s="14" t="n">
        <v>14920</v>
      </c>
      <c r="D36" s="14" t="n">
        <v>978</v>
      </c>
      <c r="E36" s="15" t="n">
        <v>30475.65</v>
      </c>
      <c r="F36" s="16" t="n">
        <v>0.002857087400092926</v>
      </c>
      <c r="G36" s="16" t="n">
        <v>0.1909817527987005</v>
      </c>
    </row>
    <row r="37">
      <c r="A37" s="13" t="inlineStr">
        <is>
          <t>#34</t>
        </is>
      </c>
      <c r="B37" t="inlineStr">
        <is>
          <t>HEART OF WICKER LARGE</t>
        </is>
      </c>
      <c r="C37" s="14" t="n">
        <v>9901</v>
      </c>
      <c r="D37" s="14" t="n">
        <v>925</v>
      </c>
      <c r="E37" s="15" t="n">
        <v>30139.41</v>
      </c>
      <c r="F37" s="16" t="n">
        <v>0.002825564952912726</v>
      </c>
      <c r="G37" s="16" t="n">
        <v>0.1938073177516132</v>
      </c>
    </row>
    <row r="38">
      <c r="A38" s="13" t="inlineStr">
        <is>
          <t>#35</t>
        </is>
      </c>
      <c r="B38" t="inlineStr">
        <is>
          <t>CHARLOTTE BAG SUKI DESIGN</t>
        </is>
      </c>
      <c r="C38" s="14" t="n">
        <v>18152</v>
      </c>
      <c r="D38" s="14" t="n">
        <v>882</v>
      </c>
      <c r="E38" s="15" t="n">
        <v>29277.95</v>
      </c>
      <c r="F38" s="16" t="n">
        <v>0.002744803213239116</v>
      </c>
      <c r="G38" s="16" t="n">
        <v>0.1965521209648523</v>
      </c>
    </row>
    <row r="39">
      <c r="A39" s="13" t="inlineStr">
        <is>
          <t>#36</t>
        </is>
      </c>
      <c r="B39" t="inlineStr">
        <is>
          <t>ROSES REGENCY TEACUP AND SAUCER</t>
        </is>
      </c>
      <c r="C39" s="14" t="n">
        <v>9877</v>
      </c>
      <c r="D39" s="14" t="n">
        <v>1065</v>
      </c>
      <c r="E39" s="15" t="n">
        <v>29095.27</v>
      </c>
      <c r="F39" s="16" t="n">
        <v>0.002727676991936241</v>
      </c>
      <c r="G39" s="16" t="n">
        <v>0.1992797979567885</v>
      </c>
    </row>
    <row r="40">
      <c r="A40" s="13" t="inlineStr">
        <is>
          <t>#37</t>
        </is>
      </c>
      <c r="B40" t="inlineStr">
        <is>
          <t>HOT WATER BOTTLE KEEP CALM</t>
        </is>
      </c>
      <c r="C40" s="14" t="n">
        <v>5841</v>
      </c>
      <c r="D40" s="14" t="n">
        <v>782</v>
      </c>
      <c r="E40" s="15" t="n">
        <v>28842.55</v>
      </c>
      <c r="F40" s="16" t="n">
        <v>0.00270398453163592</v>
      </c>
      <c r="G40" s="16" t="n">
        <v>0.2019837824884244</v>
      </c>
    </row>
    <row r="41">
      <c r="A41" s="13" t="inlineStr">
        <is>
          <t>#38</t>
        </is>
      </c>
      <c r="B41" t="inlineStr">
        <is>
          <t>JUMBO SHOPPER VINTAGE RED PAISLEY</t>
        </is>
      </c>
      <c r="C41" s="14" t="n">
        <v>12602</v>
      </c>
      <c r="D41" s="14" t="n">
        <v>1175</v>
      </c>
      <c r="E41" s="15" t="n">
        <v>28634.95</v>
      </c>
      <c r="F41" s="16" t="n">
        <v>0.002684522064247716</v>
      </c>
      <c r="G41" s="16" t="n">
        <v>0.2046683045526722</v>
      </c>
    </row>
    <row r="42">
      <c r="A42" s="13" t="inlineStr">
        <is>
          <t>#39</t>
        </is>
      </c>
      <c r="B42" t="inlineStr">
        <is>
          <t>NATURAL SLATE HEART CHALKBOARD</t>
        </is>
      </c>
      <c r="C42" s="14" t="n">
        <v>9172</v>
      </c>
      <c r="D42" s="14" t="n">
        <v>1249</v>
      </c>
      <c r="E42" s="15" t="n">
        <v>28147.96</v>
      </c>
      <c r="F42" s="16" t="n">
        <v>0.002638866828248771</v>
      </c>
      <c r="G42" s="16" t="n">
        <v>0.2073071713809209</v>
      </c>
    </row>
    <row r="43">
      <c r="A43" s="13" t="inlineStr">
        <is>
          <t>#40</t>
        </is>
      </c>
      <c r="B43" t="inlineStr">
        <is>
          <t>JUMBO  BAG BAROQUE BLACK WHITE</t>
        </is>
      </c>
      <c r="C43" s="14" t="n">
        <v>13922</v>
      </c>
      <c r="D43" s="14" t="n">
        <v>933</v>
      </c>
      <c r="E43" s="15" t="n">
        <v>28092.2</v>
      </c>
      <c r="F43" s="16" t="n">
        <v>0.002633639337008086</v>
      </c>
      <c r="G43" s="16" t="n">
        <v>0.2099408107179291</v>
      </c>
    </row>
    <row r="44">
      <c r="A44" s="13" t="inlineStr">
        <is>
          <t>#41</t>
        </is>
      </c>
      <c r="B44" t="inlineStr">
        <is>
          <t>DOORMAT RED RETROSPOT</t>
        </is>
      </c>
      <c r="C44" s="14" t="n">
        <v>4092</v>
      </c>
      <c r="D44" s="14" t="n">
        <v>696</v>
      </c>
      <c r="E44" s="15" t="n">
        <v>28082.54</v>
      </c>
      <c r="F44" s="16" t="n">
        <v>0.002632733713525571</v>
      </c>
      <c r="G44" s="16" t="n">
        <v>0.2125735444314546</v>
      </c>
    </row>
    <row r="45">
      <c r="A45" s="13" t="inlineStr">
        <is>
          <t>#42</t>
        </is>
      </c>
      <c r="B45" t="inlineStr">
        <is>
          <t>JUMBO BAG ALPHABET</t>
        </is>
      </c>
      <c r="C45" s="14" t="n">
        <v>13379</v>
      </c>
      <c r="D45" s="14" t="n">
        <v>906</v>
      </c>
      <c r="E45" s="15" t="n">
        <v>27890.17</v>
      </c>
      <c r="F45" s="16" t="n">
        <v>0.002614699056244894</v>
      </c>
      <c r="G45" s="16" t="n">
        <v>0.2151882434876995</v>
      </c>
    </row>
    <row r="46">
      <c r="A46" s="13" t="inlineStr">
        <is>
          <t>#43</t>
        </is>
      </c>
      <c r="B46" t="inlineStr">
        <is>
          <t>ALARM CLOCK BAKELIKE GREEN</t>
        </is>
      </c>
      <c r="C46" s="14" t="n">
        <v>6430</v>
      </c>
      <c r="D46" s="14" t="n">
        <v>980</v>
      </c>
      <c r="E46" s="15" t="n">
        <v>27196.53</v>
      </c>
      <c r="F46" s="16" t="n">
        <v>0.002549670415208511</v>
      </c>
      <c r="G46" s="16" t="n">
        <v>0.217737913902908</v>
      </c>
    </row>
    <row r="47">
      <c r="A47" s="13" t="inlineStr">
        <is>
          <t>#44</t>
        </is>
      </c>
      <c r="B47" t="inlineStr">
        <is>
          <t>ROTATING SILVER ANGELS T-LIGHT HLDR</t>
        </is>
      </c>
      <c r="C47" s="14" t="n">
        <v>9476</v>
      </c>
      <c r="D47" s="14" t="n">
        <v>449</v>
      </c>
      <c r="E47" s="15" t="n">
        <v>26463.83</v>
      </c>
      <c r="F47" s="16" t="n">
        <v>0.002480979905308047</v>
      </c>
      <c r="G47" s="16" t="n">
        <v>0.220218893808216</v>
      </c>
    </row>
    <row r="48">
      <c r="A48" s="13" t="inlineStr">
        <is>
          <t>#45</t>
        </is>
      </c>
      <c r="B48" t="inlineStr">
        <is>
          <t>RED  HARMONICA IN BOX</t>
        </is>
      </c>
      <c r="C48" s="14" t="n">
        <v>21933</v>
      </c>
      <c r="D48" s="14" t="n">
        <v>661</v>
      </c>
      <c r="E48" s="15" t="n">
        <v>26331.58</v>
      </c>
      <c r="F48" s="16" t="n">
        <v>0.002468581488583144</v>
      </c>
      <c r="G48" s="16" t="n">
        <v>0.2226874752967992</v>
      </c>
    </row>
    <row r="49">
      <c r="A49" s="13" t="inlineStr">
        <is>
          <t>#46</t>
        </is>
      </c>
      <c r="B49" t="inlineStr">
        <is>
          <t>RECIPE BOX PANTRY YELLOW DESIGN</t>
        </is>
      </c>
      <c r="C49" s="14" t="n">
        <v>8276</v>
      </c>
      <c r="D49" s="14" t="n">
        <v>1111</v>
      </c>
      <c r="E49" s="15" t="n">
        <v>26240.6</v>
      </c>
      <c r="F49" s="16" t="n">
        <v>0.002460052127875154</v>
      </c>
      <c r="G49" s="16" t="n">
        <v>0.2251475274246744</v>
      </c>
    </row>
    <row r="50">
      <c r="A50" s="13" t="inlineStr">
        <is>
          <t>#47</t>
        </is>
      </c>
      <c r="B50" t="inlineStr">
        <is>
          <t>GIN + TONIC DIET METAL SIGN</t>
        </is>
      </c>
      <c r="C50" s="14" t="n">
        <v>11727</v>
      </c>
      <c r="D50" s="14" t="n">
        <v>759</v>
      </c>
      <c r="E50" s="15" t="n">
        <v>25836.57</v>
      </c>
      <c r="F50" s="16" t="n">
        <v>0.002422174378844056</v>
      </c>
      <c r="G50" s="16" t="n">
        <v>0.2275697018035184</v>
      </c>
    </row>
    <row r="51">
      <c r="A51" s="13" t="inlineStr">
        <is>
          <t>#48</t>
        </is>
      </c>
      <c r="B51" t="inlineStr">
        <is>
          <t>SPACEBOY LUNCH BOX</t>
        </is>
      </c>
      <c r="C51" s="14" t="n">
        <v>14260</v>
      </c>
      <c r="D51" s="14" t="n">
        <v>900</v>
      </c>
      <c r="E51" s="15" t="n">
        <v>25740.47</v>
      </c>
      <c r="F51" s="16" t="n">
        <v>0.002413165018940365</v>
      </c>
      <c r="G51" s="16" t="n">
        <v>0.2299828668224588</v>
      </c>
    </row>
    <row r="52">
      <c r="A52" s="13" t="inlineStr">
        <is>
          <t>#49</t>
        </is>
      </c>
      <c r="B52" t="inlineStr">
        <is>
          <t>JAM MAKING SET PRINTED</t>
        </is>
      </c>
      <c r="C52" s="14" t="n">
        <v>16412</v>
      </c>
      <c r="D52" s="14" t="n">
        <v>1162</v>
      </c>
      <c r="E52" s="15" t="n">
        <v>25660.98</v>
      </c>
      <c r="F52" s="16" t="n">
        <v>0.002405712843927416</v>
      </c>
      <c r="G52" s="16" t="n">
        <v>0.2323885796663862</v>
      </c>
    </row>
    <row r="53">
      <c r="A53" s="13" t="inlineStr">
        <is>
          <t>#50</t>
        </is>
      </c>
      <c r="B53" t="inlineStr">
        <is>
          <t>DOORMAT UNION FLAG</t>
        </is>
      </c>
      <c r="C53" s="14" t="n">
        <v>3762</v>
      </c>
      <c r="D53" s="14" t="n">
        <v>616</v>
      </c>
      <c r="E53" s="15" t="n">
        <v>25609.6</v>
      </c>
      <c r="F53" s="16" t="n">
        <v>0.002400895976998679</v>
      </c>
      <c r="G53" s="16" t="n">
        <v>0.2347894756433849</v>
      </c>
    </row>
    <row r="54">
      <c r="A54" s="13" t="inlineStr">
        <is>
          <t>#51</t>
        </is>
      </c>
      <c r="B54" t="inlineStr">
        <is>
          <t>PLEASE ONE PERSON METAL SIGN</t>
        </is>
      </c>
      <c r="C54" s="14" t="n">
        <v>12305</v>
      </c>
      <c r="D54" s="14" t="n">
        <v>845</v>
      </c>
      <c r="E54" s="15" t="n">
        <v>25290.58</v>
      </c>
      <c r="F54" s="16" t="n">
        <v>0.002370987902113397</v>
      </c>
      <c r="G54" s="16" t="n">
        <v>0.2371604635454983</v>
      </c>
    </row>
    <row r="55">
      <c r="A55" s="13" t="inlineStr">
        <is>
          <t>#52</t>
        </is>
      </c>
      <c r="B55" t="inlineStr">
        <is>
          <t>REGENCY TEAPOT ROSES</t>
        </is>
      </c>
      <c r="C55" s="14" t="n">
        <v>2770</v>
      </c>
      <c r="D55" s="14" t="n">
        <v>416</v>
      </c>
      <c r="E55" s="15" t="n">
        <v>24918.93</v>
      </c>
      <c r="F55" s="16" t="n">
        <v>0.002336145772995739</v>
      </c>
      <c r="G55" s="16" t="n">
        <v>0.2394966093184941</v>
      </c>
    </row>
    <row r="56">
      <c r="A56" s="13" t="inlineStr">
        <is>
          <t>#53</t>
        </is>
      </c>
      <c r="B56" t="inlineStr">
        <is>
          <t>VINTAGE UNION JACK BUNTING</t>
        </is>
      </c>
      <c r="C56" s="14" t="n">
        <v>2789</v>
      </c>
      <c r="D56" s="14" t="n">
        <v>475</v>
      </c>
      <c r="E56" s="15" t="n">
        <v>24542.83</v>
      </c>
      <c r="F56" s="16" t="n">
        <v>0.002300886457077131</v>
      </c>
      <c r="G56" s="16" t="n">
        <v>0.2417974957755712</v>
      </c>
    </row>
    <row r="57">
      <c r="A57" s="13" t="inlineStr">
        <is>
          <t>#54</t>
        </is>
      </c>
      <c r="B57" t="inlineStr">
        <is>
          <t>JUMBO BAG VINTAGE DOILY</t>
        </is>
      </c>
      <c r="C57" s="14" t="n">
        <v>11464</v>
      </c>
      <c r="D57" s="14" t="n">
        <v>711</v>
      </c>
      <c r="E57" s="15" t="n">
        <v>24522.36</v>
      </c>
      <c r="F57" s="16" t="n">
        <v>0.002298967397792754</v>
      </c>
      <c r="G57" s="16" t="n">
        <v>0.2440964631733639</v>
      </c>
    </row>
    <row r="58">
      <c r="A58" s="13" t="inlineStr">
        <is>
          <t>#55</t>
        </is>
      </c>
      <c r="B58" t="inlineStr">
        <is>
          <t>SCOTTIE DOG HOT WATER BOTTLE</t>
        </is>
      </c>
      <c r="C58" s="14" t="n">
        <v>4666</v>
      </c>
      <c r="D58" s="14" t="n">
        <v>771</v>
      </c>
      <c r="E58" s="15" t="n">
        <v>24509.84</v>
      </c>
      <c r="F58" s="16" t="n">
        <v>0.002297793649759516</v>
      </c>
      <c r="G58" s="16" t="n">
        <v>0.2463942568231234</v>
      </c>
    </row>
    <row r="59">
      <c r="A59" s="13" t="inlineStr">
        <is>
          <t>#56</t>
        </is>
      </c>
      <c r="B59" t="inlineStr">
        <is>
          <t>SET OF 6 SPICE TINS PANTRY DESIGN</t>
        </is>
      </c>
      <c r="C59" s="14" t="n">
        <v>5978</v>
      </c>
      <c r="D59" s="14" t="n">
        <v>834</v>
      </c>
      <c r="E59" s="15" t="n">
        <v>24483.66</v>
      </c>
      <c r="F59" s="16" t="n">
        <v>0.002295339278872121</v>
      </c>
      <c r="G59" s="16" t="n">
        <v>0.2486895961019956</v>
      </c>
    </row>
    <row r="60">
      <c r="A60" s="13" t="inlineStr">
        <is>
          <t>#57</t>
        </is>
      </c>
      <c r="B60" t="inlineStr">
        <is>
          <t>ROUND SNACK BOXES SET OF4 WOODLAND</t>
        </is>
      </c>
      <c r="C60" s="14" t="n">
        <v>8560</v>
      </c>
      <c r="D60" s="14" t="n">
        <v>732</v>
      </c>
      <c r="E60" s="15" t="n">
        <v>24438.62</v>
      </c>
      <c r="F60" s="16" t="n">
        <v>0.002291116785947436</v>
      </c>
      <c r="G60" s="16" t="n">
        <v>0.250980712887943</v>
      </c>
    </row>
    <row r="61">
      <c r="A61" s="13" t="inlineStr">
        <is>
          <t>#58</t>
        </is>
      </c>
      <c r="B61" t="inlineStr">
        <is>
          <t>DOORMAT NEW ENGLAND</t>
        </is>
      </c>
      <c r="C61" s="14" t="n">
        <v>3830</v>
      </c>
      <c r="D61" s="14" t="n">
        <v>600</v>
      </c>
      <c r="E61" s="15" t="n">
        <v>24292.84</v>
      </c>
      <c r="F61" s="16" t="n">
        <v>0.002277449933847955</v>
      </c>
      <c r="G61" s="16" t="n">
        <v>0.253258162821791</v>
      </c>
    </row>
    <row r="62">
      <c r="A62" s="13" t="inlineStr">
        <is>
          <t>#59</t>
        </is>
      </c>
      <c r="B62" t="inlineStr">
        <is>
          <t>BAKING SET 9 PIECE RETROSPOT</t>
        </is>
      </c>
      <c r="C62" s="14" t="n">
        <v>4948</v>
      </c>
      <c r="D62" s="14" t="n">
        <v>934</v>
      </c>
      <c r="E62" s="15" t="n">
        <v>24239.72</v>
      </c>
      <c r="F62" s="16" t="n">
        <v>0.002272469942192554</v>
      </c>
      <c r="G62" s="16" t="n">
        <v>0.2555306327639835</v>
      </c>
    </row>
    <row r="63">
      <c r="A63" s="13" t="inlineStr">
        <is>
          <t>#60</t>
        </is>
      </c>
      <c r="B63" t="inlineStr">
        <is>
          <t>RED TOADSTOOL LED NIGHT LIGHT</t>
        </is>
      </c>
      <c r="C63" s="14" t="n">
        <v>14009</v>
      </c>
      <c r="D63" s="14" t="n">
        <v>849</v>
      </c>
      <c r="E63" s="15" t="n">
        <v>23932.98</v>
      </c>
      <c r="F63" s="16" t="n">
        <v>0.002243713115378211</v>
      </c>
      <c r="G63" s="16" t="n">
        <v>0.2577743458793618</v>
      </c>
    </row>
    <row r="64">
      <c r="A64" s="13" t="inlineStr">
        <is>
          <t>#61</t>
        </is>
      </c>
      <c r="B64" t="inlineStr">
        <is>
          <t>DOORMAT FAIRY CAKE</t>
        </is>
      </c>
      <c r="C64" s="14" t="n">
        <v>3617</v>
      </c>
      <c r="D64" s="14" t="n">
        <v>365</v>
      </c>
      <c r="E64" s="15" t="n">
        <v>23888.81</v>
      </c>
      <c r="F64" s="16" t="n">
        <v>0.002239572184816858</v>
      </c>
      <c r="G64" s="16" t="n">
        <v>0.2600139180641786</v>
      </c>
    </row>
    <row r="65">
      <c r="A65" s="13" t="inlineStr">
        <is>
          <t>#62</t>
        </is>
      </c>
      <c r="B65" t="inlineStr">
        <is>
          <t>JUMBO BAG 50'S CHRISTMAS</t>
        </is>
      </c>
      <c r="C65" s="14" t="n">
        <v>10306</v>
      </c>
      <c r="D65" s="14" t="n">
        <v>716</v>
      </c>
      <c r="E65" s="15" t="n">
        <v>23815.75</v>
      </c>
      <c r="F65" s="16" t="n">
        <v>0.002232722821293823</v>
      </c>
      <c r="G65" s="16" t="n">
        <v>0.2622466408854724</v>
      </c>
    </row>
    <row r="66">
      <c r="A66" s="13" t="inlineStr">
        <is>
          <t>#63</t>
        </is>
      </c>
      <c r="B66" t="inlineStr">
        <is>
          <t>EDWARDIAN PARASOL NATURAL</t>
        </is>
      </c>
      <c r="C66" s="14" t="n">
        <v>4081</v>
      </c>
      <c r="D66" s="14" t="n">
        <v>540</v>
      </c>
      <c r="E66" s="15" t="n">
        <v>23761.77</v>
      </c>
      <c r="F66" s="16" t="n">
        <v>0.002227662204773518</v>
      </c>
      <c r="G66" s="16" t="n">
        <v>0.2644743030902459</v>
      </c>
    </row>
    <row r="67">
      <c r="A67" s="13" t="inlineStr">
        <is>
          <t>#64</t>
        </is>
      </c>
      <c r="B67" t="inlineStr">
        <is>
          <t>SET OF TEA COFFEE SUGAR TINS PANTRY</t>
        </is>
      </c>
      <c r="C67" s="14" t="n">
        <v>4805</v>
      </c>
      <c r="D67" s="14" t="n">
        <v>470</v>
      </c>
      <c r="E67" s="15" t="n">
        <v>23514.17</v>
      </c>
      <c r="F67" s="16" t="n">
        <v>0.002204449743668898</v>
      </c>
      <c r="G67" s="16" t="n">
        <v>0.2666787528339148</v>
      </c>
    </row>
    <row r="68">
      <c r="A68" s="13" t="inlineStr">
        <is>
          <t>#65</t>
        </is>
      </c>
      <c r="B68" t="inlineStr">
        <is>
          <t>CREAM HEART CARD HOLDER</t>
        </is>
      </c>
      <c r="C68" s="14" t="n">
        <v>8291</v>
      </c>
      <c r="D68" s="14" t="n">
        <v>524</v>
      </c>
      <c r="E68" s="15" t="n">
        <v>23463.47</v>
      </c>
      <c r="F68" s="16" t="n">
        <v>0.00219969662663334</v>
      </c>
      <c r="G68" s="16" t="n">
        <v>0.2688784494605482</v>
      </c>
    </row>
    <row r="69">
      <c r="A69" s="13" t="inlineStr">
        <is>
          <t>#66</t>
        </is>
      </c>
      <c r="B69" t="inlineStr">
        <is>
          <t>RED HANGING HEART T-LIGHT HOLDER</t>
        </is>
      </c>
      <c r="C69" s="14" t="n">
        <v>7882</v>
      </c>
      <c r="D69" s="14" t="n">
        <v>741</v>
      </c>
      <c r="E69" s="15" t="n">
        <v>23228.74</v>
      </c>
      <c r="F69" s="16" t="n">
        <v>0.002177690726006978</v>
      </c>
      <c r="G69" s="16" t="n">
        <v>0.2710561401865552</v>
      </c>
    </row>
    <row r="70">
      <c r="A70" s="13" t="inlineStr">
        <is>
          <t>#67</t>
        </is>
      </c>
      <c r="B70" t="inlineStr">
        <is>
          <t>JUMBO BAG PINK VINTAGE PAISLEY</t>
        </is>
      </c>
      <c r="C70" s="14" t="n">
        <v>11007</v>
      </c>
      <c r="D70" s="14" t="n">
        <v>865</v>
      </c>
      <c r="E70" s="15" t="n">
        <v>23181.14</v>
      </c>
      <c r="F70" s="16" t="n">
        <v>0.002173228233484442</v>
      </c>
      <c r="G70" s="16" t="n">
        <v>0.2732293684200396</v>
      </c>
    </row>
    <row r="71">
      <c r="A71" s="13" t="inlineStr">
        <is>
          <t>#68</t>
        </is>
      </c>
      <c r="B71" t="inlineStr">
        <is>
          <t>WOODEN PICTURE FRAME WHITE FINISH</t>
        </is>
      </c>
      <c r="C71" s="14" t="n">
        <v>9006</v>
      </c>
      <c r="D71" s="14" t="n">
        <v>1100</v>
      </c>
      <c r="E71" s="15" t="n">
        <v>23113.26</v>
      </c>
      <c r="F71" s="16" t="n">
        <v>0.002166864494147682</v>
      </c>
      <c r="G71" s="16" t="n">
        <v>0.2753962329141873</v>
      </c>
    </row>
    <row r="72">
      <c r="A72" s="13" t="inlineStr">
        <is>
          <t>#69</t>
        </is>
      </c>
      <c r="B72" t="inlineStr">
        <is>
          <t>JUMBO BAG OWLS</t>
        </is>
      </c>
      <c r="C72" s="14" t="n">
        <v>11444</v>
      </c>
      <c r="D72" s="14" t="n">
        <v>657</v>
      </c>
      <c r="E72" s="15" t="n">
        <v>23030.96</v>
      </c>
      <c r="F72" s="16" t="n">
        <v>0.002159148882076154</v>
      </c>
      <c r="G72" s="16" t="n">
        <v>0.2775553817962635</v>
      </c>
    </row>
    <row r="73">
      <c r="A73" s="13" t="inlineStr">
        <is>
          <t>#70</t>
        </is>
      </c>
      <c r="B73" t="inlineStr">
        <is>
          <t>VINTAGE UNION JACK MEMOBOARD</t>
        </is>
      </c>
      <c r="C73" s="14" t="n">
        <v>3272</v>
      </c>
      <c r="D73" s="14" t="n">
        <v>221</v>
      </c>
      <c r="E73" s="15" t="n">
        <v>23010.09</v>
      </c>
      <c r="F73" s="16" t="n">
        <v>0.002157192322854614</v>
      </c>
      <c r="G73" s="16" t="n">
        <v>0.279712574119118</v>
      </c>
    </row>
    <row r="74">
      <c r="A74" s="13" t="inlineStr">
        <is>
          <t>#71</t>
        </is>
      </c>
      <c r="B74" t="inlineStr">
        <is>
          <t>RETROSPOT TEA SET CERAMIC 11 PC</t>
        </is>
      </c>
      <c r="C74" s="14" t="n">
        <v>4527</v>
      </c>
      <c r="D74" s="14" t="n">
        <v>962</v>
      </c>
      <c r="E74" s="15" t="n">
        <v>22912.81</v>
      </c>
      <c r="F74" s="16" t="n">
        <v>0.002148072338136289</v>
      </c>
      <c r="G74" s="16" t="n">
        <v>0.2818606464572543</v>
      </c>
    </row>
    <row r="75">
      <c r="A75" s="13" t="inlineStr">
        <is>
          <t>#72</t>
        </is>
      </c>
      <c r="B75" t="inlineStr">
        <is>
          <t>GREEN REGENCY TEACUP AND SAUCER</t>
        </is>
      </c>
      <c r="C75" s="14" t="n">
        <v>7302</v>
      </c>
      <c r="D75" s="14" t="n">
        <v>1013</v>
      </c>
      <c r="E75" s="15" t="n">
        <v>22826.3</v>
      </c>
      <c r="F75" s="16" t="n">
        <v>0.002139962039226108</v>
      </c>
      <c r="G75" s="16" t="n">
        <v>0.2840006084964805</v>
      </c>
    </row>
    <row r="76">
      <c r="A76" s="13" t="inlineStr">
        <is>
          <t>#73</t>
        </is>
      </c>
      <c r="B76" t="inlineStr">
        <is>
          <t>PAPER BUNTING RETROSPOT</t>
        </is>
      </c>
      <c r="C76" s="14" t="n">
        <v>7564</v>
      </c>
      <c r="D76" s="14" t="n">
        <v>798</v>
      </c>
      <c r="E76" s="15" t="n">
        <v>22790.96</v>
      </c>
      <c r="F76" s="16" t="n">
        <v>0.002136648919777654</v>
      </c>
      <c r="G76" s="16" t="n">
        <v>0.2861372574162581</v>
      </c>
    </row>
    <row r="77">
      <c r="A77" s="13" t="inlineStr">
        <is>
          <t>#74</t>
        </is>
      </c>
      <c r="B77" t="inlineStr">
        <is>
          <t>CREAM SWEETHEART MINI CHEST</t>
        </is>
      </c>
      <c r="C77" s="14" t="n">
        <v>1793</v>
      </c>
      <c r="D77" s="14" t="n">
        <v>519</v>
      </c>
      <c r="E77" s="15" t="n">
        <v>22708.95</v>
      </c>
      <c r="F77" s="16" t="n">
        <v>0.002128960495160571</v>
      </c>
      <c r="G77" s="16" t="n">
        <v>0.2882662179114187</v>
      </c>
    </row>
    <row r="78">
      <c r="A78" s="13" t="inlineStr">
        <is>
          <t>#75</t>
        </is>
      </c>
      <c r="B78" t="inlineStr">
        <is>
          <t>LUNCH BAG  BLACK SKULL.</t>
        </is>
      </c>
      <c r="C78" s="14" t="n">
        <v>12240</v>
      </c>
      <c r="D78" s="14" t="n">
        <v>1273</v>
      </c>
      <c r="E78" s="15" t="n">
        <v>22421.21</v>
      </c>
      <c r="F78" s="16" t="n">
        <v>0.002101984915361526</v>
      </c>
      <c r="G78" s="16" t="n">
        <v>0.2903682028267802</v>
      </c>
    </row>
    <row r="79">
      <c r="A79" s="13" t="inlineStr">
        <is>
          <t>#76</t>
        </is>
      </c>
      <c r="B79" t="inlineStr">
        <is>
          <t>RED WOOLLY HOTTIE WHITE HEART.</t>
        </is>
      </c>
      <c r="C79" s="14" t="n">
        <v>4765</v>
      </c>
      <c r="D79" s="14" t="n">
        <v>429</v>
      </c>
      <c r="E79" s="15" t="n">
        <v>22144.98</v>
      </c>
      <c r="F79" s="16" t="n">
        <v>0.002076088396254381</v>
      </c>
      <c r="G79" s="16" t="n">
        <v>0.2924442912230346</v>
      </c>
    </row>
    <row r="80">
      <c r="A80" s="13" t="inlineStr">
        <is>
          <t>#77</t>
        </is>
      </c>
      <c r="B80" t="inlineStr">
        <is>
          <t>DOORMAT HEARTS</t>
        </is>
      </c>
      <c r="C80" s="14" t="n">
        <v>3419</v>
      </c>
      <c r="D80" s="14" t="n">
        <v>592</v>
      </c>
      <c r="E80" s="15" t="n">
        <v>22138.57</v>
      </c>
      <c r="F80" s="16" t="n">
        <v>0.002075487459761325</v>
      </c>
      <c r="G80" s="16" t="n">
        <v>0.2945197786827959</v>
      </c>
    </row>
    <row r="81">
      <c r="A81" s="13" t="inlineStr">
        <is>
          <t>#78</t>
        </is>
      </c>
      <c r="B81" t="inlineStr">
        <is>
          <t>JUMBO BAG WOODLAND ANIMALS</t>
        </is>
      </c>
      <c r="C81" s="14" t="n">
        <v>9773</v>
      </c>
      <c r="D81" s="14" t="n">
        <v>863</v>
      </c>
      <c r="E81" s="15" t="n">
        <v>22092.42</v>
      </c>
      <c r="F81" s="16" t="n">
        <v>0.002071160904511009</v>
      </c>
      <c r="G81" s="16" t="n">
        <v>0.2965909395873069</v>
      </c>
    </row>
    <row r="82">
      <c r="A82" s="13" t="inlineStr">
        <is>
          <t>#79</t>
        </is>
      </c>
      <c r="B82" t="inlineStr">
        <is>
          <t>JUMBO BAG VINTAGE LEAF</t>
        </is>
      </c>
      <c r="C82" s="14" t="n">
        <v>10962</v>
      </c>
      <c r="D82" s="14" t="n">
        <v>879</v>
      </c>
      <c r="E82" s="15" t="n">
        <v>21852.81</v>
      </c>
      <c r="F82" s="16" t="n">
        <v>0.002048697504651244</v>
      </c>
      <c r="G82" s="16" t="n">
        <v>0.2986396370919582</v>
      </c>
    </row>
    <row r="83">
      <c r="A83" s="13" t="inlineStr">
        <is>
          <t>#80</t>
        </is>
      </c>
      <c r="B83" t="inlineStr">
        <is>
          <t>WOODEN FRAME ANTIQUE WHITE</t>
        </is>
      </c>
      <c r="C83" s="14" t="n">
        <v>7013</v>
      </c>
      <c r="D83" s="14" t="n">
        <v>971</v>
      </c>
      <c r="E83" s="15" t="n">
        <v>21852.39</v>
      </c>
      <c r="F83" s="16" t="n">
        <v>0.002048658129717221</v>
      </c>
      <c r="G83" s="16" t="n">
        <v>0.3006882952216754</v>
      </c>
    </row>
    <row r="84">
      <c r="A84" s="13" t="inlineStr">
        <is>
          <t>#81</t>
        </is>
      </c>
      <c r="B84" t="inlineStr">
        <is>
          <t>RED RETROSPOT CHARLOTTE BAG</t>
        </is>
      </c>
      <c r="C84" s="14" t="n">
        <v>17765</v>
      </c>
      <c r="D84" s="14" t="n">
        <v>1032</v>
      </c>
      <c r="E84" s="15" t="n">
        <v>21776.79</v>
      </c>
      <c r="F84" s="16" t="n">
        <v>0.002041570641593194</v>
      </c>
      <c r="G84" s="16" t="n">
        <v>0.3027298658632686</v>
      </c>
    </row>
    <row r="85">
      <c r="A85" s="13" t="inlineStr">
        <is>
          <t>#82</t>
        </is>
      </c>
      <c r="B85" t="inlineStr">
        <is>
          <t>LUNCH BAG CARS BLUE</t>
        </is>
      </c>
      <c r="C85" s="14" t="n">
        <v>11817</v>
      </c>
      <c r="D85" s="14" t="n">
        <v>1150</v>
      </c>
      <c r="E85" s="15" t="n">
        <v>21750.63</v>
      </c>
      <c r="F85" s="16" t="n">
        <v>0.002039118145702657</v>
      </c>
      <c r="G85" s="16" t="n">
        <v>0.3047689840089712</v>
      </c>
    </row>
    <row r="86">
      <c r="A86" s="13" t="inlineStr">
        <is>
          <t>#83</t>
        </is>
      </c>
      <c r="B86" t="inlineStr">
        <is>
          <t>DOLLY GIRL LUNCH BOX</t>
        </is>
      </c>
      <c r="C86" s="14" t="n">
        <v>11793</v>
      </c>
      <c r="D86" s="14" t="n">
        <v>850</v>
      </c>
      <c r="E86" s="15" t="n">
        <v>21635.14</v>
      </c>
      <c r="F86" s="16" t="n">
        <v>0.002028290976344933</v>
      </c>
      <c r="G86" s="16" t="n">
        <v>0.3067972749853162</v>
      </c>
    </row>
    <row r="87">
      <c r="A87" s="13" t="inlineStr">
        <is>
          <t>#84</t>
        </is>
      </c>
      <c r="B87" t="inlineStr">
        <is>
          <t>DOORMAT FANCY FONT HOME SWEET HOME</t>
        </is>
      </c>
      <c r="C87" s="14" t="n">
        <v>3246</v>
      </c>
      <c r="D87" s="14" t="n">
        <v>502</v>
      </c>
      <c r="E87" s="15" t="n">
        <v>21601.69</v>
      </c>
      <c r="F87" s="16" t="n">
        <v>0.002025155044099579</v>
      </c>
      <c r="G87" s="16" t="n">
        <v>0.3088224300294157</v>
      </c>
    </row>
    <row r="88">
      <c r="A88" s="13" t="inlineStr">
        <is>
          <t>#85</t>
        </is>
      </c>
      <c r="B88" t="inlineStr">
        <is>
          <t>RED RETROSPOT CAKE STAND</t>
        </is>
      </c>
      <c r="C88" s="14" t="n">
        <v>2013</v>
      </c>
      <c r="D88" s="14" t="n">
        <v>539</v>
      </c>
      <c r="E88" s="15" t="n">
        <v>21365.25</v>
      </c>
      <c r="F88" s="16" t="n">
        <v>0.00200298883124184</v>
      </c>
      <c r="G88" s="16" t="n">
        <v>0.3108254188606576</v>
      </c>
    </row>
    <row r="89">
      <c r="A89" s="13" t="inlineStr">
        <is>
          <t>#86</t>
        </is>
      </c>
      <c r="B89" t="inlineStr">
        <is>
          <t>PACK OF 72 RETROSPOT CAKE CASES</t>
        </is>
      </c>
      <c r="C89" s="14" t="n">
        <v>36419</v>
      </c>
      <c r="D89" s="14" t="n">
        <v>1320</v>
      </c>
      <c r="E89" s="15" t="n">
        <v>21259.1</v>
      </c>
      <c r="F89" s="16" t="n">
        <v>0.001993037285416898</v>
      </c>
      <c r="G89" s="16" t="n">
        <v>0.3128184561460745</v>
      </c>
    </row>
    <row r="90">
      <c r="A90" s="13" t="inlineStr">
        <is>
          <t>#87</t>
        </is>
      </c>
      <c r="B90" t="inlineStr">
        <is>
          <t>COOK WITH WINE METAL SIGN</t>
        </is>
      </c>
      <c r="C90" s="14" t="n">
        <v>10364</v>
      </c>
      <c r="D90" s="14" t="n">
        <v>723</v>
      </c>
      <c r="E90" s="15" t="n">
        <v>20957.64</v>
      </c>
      <c r="F90" s="16" t="n">
        <v>0.001964775457773124</v>
      </c>
      <c r="G90" s="16" t="n">
        <v>0.3147832316038476</v>
      </c>
    </row>
    <row r="91">
      <c r="A91" s="13" t="inlineStr">
        <is>
          <t>#88</t>
        </is>
      </c>
      <c r="B91" t="inlineStr">
        <is>
          <t>LUNCH BAG APPLE DESIGN</t>
        </is>
      </c>
      <c r="C91" s="14" t="n">
        <v>12183</v>
      </c>
      <c r="D91" s="14" t="n">
        <v>1036</v>
      </c>
      <c r="E91" s="15" t="n">
        <v>20911.98</v>
      </c>
      <c r="F91" s="16" t="n">
        <v>0.001960494839945834</v>
      </c>
      <c r="G91" s="16" t="n">
        <v>0.3167437264437934</v>
      </c>
    </row>
    <row r="92">
      <c r="A92" s="13" t="inlineStr">
        <is>
          <t>#89</t>
        </is>
      </c>
      <c r="B92" t="inlineStr">
        <is>
          <t>LUNCH BOX I LOVE LONDON</t>
        </is>
      </c>
      <c r="C92" s="14" t="n">
        <v>11523</v>
      </c>
      <c r="D92" s="14" t="n">
        <v>707</v>
      </c>
      <c r="E92" s="15" t="n">
        <v>20818.7</v>
      </c>
      <c r="F92" s="16" t="n">
        <v>0.00195174985459915</v>
      </c>
      <c r="G92" s="16" t="n">
        <v>0.3186954762983926</v>
      </c>
    </row>
    <row r="93">
      <c r="A93" s="13" t="inlineStr">
        <is>
          <t>#90</t>
        </is>
      </c>
      <c r="B93" t="inlineStr">
        <is>
          <t>ALARM CLOCK BAKELIKE PINK</t>
        </is>
      </c>
      <c r="C93" s="14" t="n">
        <v>5364</v>
      </c>
      <c r="D93" s="14" t="n">
        <v>783</v>
      </c>
      <c r="E93" s="15" t="n">
        <v>20702.15</v>
      </c>
      <c r="F93" s="16" t="n">
        <v>0.001940823310407941</v>
      </c>
      <c r="G93" s="16" t="n">
        <v>0.3206362996088006</v>
      </c>
    </row>
    <row r="94">
      <c r="A94" s="13" t="inlineStr">
        <is>
          <t>#91</t>
        </is>
      </c>
      <c r="B94" t="inlineStr">
        <is>
          <t>WHITE SKULL HOT WATER BOTTLE</t>
        </is>
      </c>
      <c r="C94" s="14" t="n">
        <v>3918</v>
      </c>
      <c r="D94" s="14" t="n">
        <v>499</v>
      </c>
      <c r="E94" s="15" t="n">
        <v>20594.45</v>
      </c>
      <c r="F94" s="16" t="n">
        <v>0.001930726452326489</v>
      </c>
      <c r="G94" s="16" t="n">
        <v>0.3225670260611271</v>
      </c>
    </row>
    <row r="95">
      <c r="A95" s="13" t="inlineStr">
        <is>
          <t>#92</t>
        </is>
      </c>
      <c r="B95" t="inlineStr">
        <is>
          <t>ANTIQUE SILVER T-LIGHT GLASS</t>
        </is>
      </c>
      <c r="C95" s="14" t="n">
        <v>14688</v>
      </c>
      <c r="D95" s="14" t="n">
        <v>689</v>
      </c>
      <c r="E95" s="15" t="n">
        <v>19411.62</v>
      </c>
      <c r="F95" s="16" t="n">
        <v>0.001819836325636757</v>
      </c>
      <c r="G95" s="16" t="n">
        <v>0.3243868623867638</v>
      </c>
    </row>
    <row r="96">
      <c r="A96" s="13" t="inlineStr">
        <is>
          <t>#93</t>
        </is>
      </c>
      <c r="B96" t="inlineStr">
        <is>
          <t>PICNIC BASKET WICKER LARGE</t>
        </is>
      </c>
      <c r="C96" s="14" t="n">
        <v>1604</v>
      </c>
      <c r="D96" s="14" t="n">
        <v>445</v>
      </c>
      <c r="E96" s="15" t="n">
        <v>19322.16</v>
      </c>
      <c r="F96" s="16" t="n">
        <v>0.001811449464689991</v>
      </c>
      <c r="G96" s="16" t="n">
        <v>0.3261983118514538</v>
      </c>
    </row>
    <row r="97">
      <c r="A97" s="13" t="inlineStr">
        <is>
          <t>#94</t>
        </is>
      </c>
      <c r="B97" t="inlineStr">
        <is>
          <t>ROUND SNACK BOXES SET OF 4 FRUITS</t>
        </is>
      </c>
      <c r="C97" s="14" t="n">
        <v>6847</v>
      </c>
      <c r="D97" s="14" t="n">
        <v>581</v>
      </c>
      <c r="E97" s="15" t="n">
        <v>19130.37</v>
      </c>
      <c r="F97" s="16" t="n">
        <v>0.001793469182318201</v>
      </c>
      <c r="G97" s="16" t="n">
        <v>0.3279917810337721</v>
      </c>
    </row>
    <row r="98">
      <c r="A98" s="13" t="inlineStr">
        <is>
          <t>#95</t>
        </is>
      </c>
      <c r="B98" t="inlineStr">
        <is>
          <t>GUMBALL COAT RACK</t>
        </is>
      </c>
      <c r="C98" s="14" t="n">
        <v>7962</v>
      </c>
      <c r="D98" s="14" t="n">
        <v>681</v>
      </c>
      <c r="E98" s="15" t="n">
        <v>18890.47</v>
      </c>
      <c r="F98" s="16" t="n">
        <v>0.001770978595003992</v>
      </c>
      <c r="G98" s="16" t="n">
        <v>0.329762759628776</v>
      </c>
    </row>
    <row r="99">
      <c r="A99" s="13" t="inlineStr">
        <is>
          <t>#96</t>
        </is>
      </c>
      <c r="B99" t="inlineStr">
        <is>
          <t>HOMEMADE JAM SCENTED CANDLES</t>
        </is>
      </c>
      <c r="C99" s="14" t="n">
        <v>12532</v>
      </c>
      <c r="D99" s="14" t="n">
        <v>646</v>
      </c>
      <c r="E99" s="15" t="n">
        <v>18788.55</v>
      </c>
      <c r="F99" s="16" t="n">
        <v>0.001761423611014562</v>
      </c>
      <c r="G99" s="16" t="n">
        <v>0.3315241832397906</v>
      </c>
    </row>
    <row r="100">
      <c r="A100" s="13" t="inlineStr">
        <is>
          <t>#97</t>
        </is>
      </c>
      <c r="B100" t="inlineStr">
        <is>
          <t>LUNCH BAG SUKI DESIGN</t>
        </is>
      </c>
      <c r="C100" s="14" t="n">
        <v>10332</v>
      </c>
      <c r="D100" s="14" t="n">
        <v>1084</v>
      </c>
      <c r="E100" s="15" t="n">
        <v>18750.58</v>
      </c>
      <c r="F100" s="16" t="n">
        <v>0.001757863929479253</v>
      </c>
      <c r="G100" s="16" t="n">
        <v>0.3332820471692698</v>
      </c>
    </row>
    <row r="101">
      <c r="A101" s="13" t="inlineStr">
        <is>
          <t>#98</t>
        </is>
      </c>
      <c r="B101" t="inlineStr">
        <is>
          <t>ASSORTED COLOURS SILK FAN</t>
        </is>
      </c>
      <c r="C101" s="14" t="n">
        <v>23826</v>
      </c>
      <c r="D101" s="14" t="n">
        <v>518</v>
      </c>
      <c r="E101" s="15" t="n">
        <v>18569.84</v>
      </c>
      <c r="F101" s="16" t="n">
        <v>0.001740919582871624</v>
      </c>
      <c r="G101" s="16" t="n">
        <v>0.3350229667521415</v>
      </c>
    </row>
    <row r="102">
      <c r="A102" s="13" t="inlineStr">
        <is>
          <t>#99</t>
        </is>
      </c>
      <c r="B102" t="inlineStr">
        <is>
          <t>LUNCH BAG WOODLAND</t>
        </is>
      </c>
      <c r="C102" s="14" t="n">
        <v>9933</v>
      </c>
      <c r="D102" s="14" t="n">
        <v>1017</v>
      </c>
      <c r="E102" s="15" t="n">
        <v>18323.38</v>
      </c>
      <c r="F102" s="16" t="n">
        <v>0.001717813996587922</v>
      </c>
      <c r="G102" s="16" t="n">
        <v>0.3367407807487294</v>
      </c>
    </row>
    <row r="103">
      <c r="A103" s="13" t="inlineStr">
        <is>
          <t>#100</t>
        </is>
      </c>
      <c r="B103" t="inlineStr">
        <is>
          <t>LUNCH BAG SPACEBOY DESIGN</t>
        </is>
      </c>
      <c r="C103" s="14" t="n">
        <v>10464</v>
      </c>
      <c r="D103" s="14" t="n">
        <v>1157</v>
      </c>
      <c r="E103" s="15" t="n">
        <v>18092.36</v>
      </c>
      <c r="F103" s="16" t="n">
        <v>0.001696155907878757</v>
      </c>
      <c r="G103" s="16" t="n">
        <v>0.3384369366566081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26" customWidth="1" min="3" max="3"/>
    <col width="16" customWidth="1" min="4" max="4"/>
    <col width="20" customWidth="1" min="5" max="5"/>
    <col width="14" customWidth="1" min="6" max="6"/>
    <col width="22" customWidth="1" min="7" max="7"/>
  </cols>
  <sheetData>
    <row r="1">
      <c r="A1" s="1" t="inlineStr">
        <is>
          <t>GEOGRAPHIC REVENUE &amp; EXPANSION METRICS (38 COUNTRIES)</t>
        </is>
      </c>
    </row>
    <row r="2"/>
    <row r="3">
      <c r="A3" s="12" t="inlineStr">
        <is>
          <t>Country</t>
        </is>
      </c>
      <c r="B3" s="12" t="inlineStr">
        <is>
          <t>Gross Revenue ($)</t>
        </is>
      </c>
      <c r="C3" s="12" t="inlineStr">
        <is>
          <t>Revenue Share</t>
        </is>
      </c>
      <c r="D3" s="12" t="inlineStr">
        <is>
          <t>Total Orders</t>
        </is>
      </c>
      <c r="E3" s="12" t="inlineStr">
        <is>
          <t>Unique Customers</t>
        </is>
      </c>
      <c r="F3" s="12" t="inlineStr">
        <is>
          <t>Units Sold</t>
        </is>
      </c>
      <c r="G3" s="12" t="inlineStr">
        <is>
          <t>AOV ($)</t>
        </is>
      </c>
    </row>
    <row r="4">
      <c r="A4" t="inlineStr">
        <is>
          <t>United Kingdom</t>
        </is>
      </c>
      <c r="B4" s="15" t="n">
        <v>9025222.084000001</v>
      </c>
      <c r="C4" s="16" t="n">
        <v>0.8461131526066488</v>
      </c>
      <c r="D4" s="14" t="n">
        <v>18019</v>
      </c>
      <c r="E4" s="14" t="n">
        <v>3920</v>
      </c>
      <c r="F4" s="14" t="n">
        <v>4662390</v>
      </c>
      <c r="G4" s="15" t="n">
        <v>500.8725281092181</v>
      </c>
    </row>
    <row r="5">
      <c r="A5" t="inlineStr">
        <is>
          <t>Netherlands</t>
        </is>
      </c>
      <c r="B5" s="15" t="n">
        <v>285446.34</v>
      </c>
      <c r="C5" s="16" t="n">
        <v>0.02676054953435419</v>
      </c>
      <c r="D5" s="14" t="n">
        <v>94</v>
      </c>
      <c r="E5" s="14" t="n">
        <v>9</v>
      </c>
      <c r="F5" s="14" t="n">
        <v>200361</v>
      </c>
      <c r="G5" s="15" t="n">
        <v>3036.663191489362</v>
      </c>
    </row>
    <row r="6">
      <c r="A6" t="inlineStr">
        <is>
          <t>EIRE</t>
        </is>
      </c>
      <c r="B6" s="15" t="n">
        <v>283453.96</v>
      </c>
      <c r="C6" s="16" t="n">
        <v>0.02657376422233633</v>
      </c>
      <c r="D6" s="14" t="n">
        <v>288</v>
      </c>
      <c r="E6" s="14" t="n">
        <v>3</v>
      </c>
      <c r="F6" s="14" t="n">
        <v>147173</v>
      </c>
      <c r="G6" s="15" t="n">
        <v>984.215138888889</v>
      </c>
    </row>
    <row r="7">
      <c r="A7" t="inlineStr">
        <is>
          <t>Germany</t>
        </is>
      </c>
      <c r="B7" s="15" t="n">
        <v>228867.14</v>
      </c>
      <c r="C7" s="16" t="n">
        <v>0.02145625842235699</v>
      </c>
      <c r="D7" s="14" t="n">
        <v>457</v>
      </c>
      <c r="E7" s="14" t="n">
        <v>94</v>
      </c>
      <c r="F7" s="14" t="n">
        <v>119261</v>
      </c>
      <c r="G7" s="15" t="n">
        <v>500.8033698030635</v>
      </c>
    </row>
    <row r="8">
      <c r="A8" t="inlineStr">
        <is>
          <t>France</t>
        </is>
      </c>
      <c r="B8" s="15" t="n">
        <v>209715.11</v>
      </c>
      <c r="C8" s="16" t="n">
        <v>0.01966075861844134</v>
      </c>
      <c r="D8" s="14" t="n">
        <v>392</v>
      </c>
      <c r="E8" s="14" t="n">
        <v>87</v>
      </c>
      <c r="F8" s="14" t="n">
        <v>112103</v>
      </c>
      <c r="G8" s="15" t="n">
        <v>534.987525510204</v>
      </c>
    </row>
    <row r="9">
      <c r="A9" t="inlineStr">
        <is>
          <t>Australia</t>
        </is>
      </c>
      <c r="B9" s="15" t="n">
        <v>138521.31</v>
      </c>
      <c r="C9" s="16" t="n">
        <v>0.01298635105224552</v>
      </c>
      <c r="D9" s="14" t="n">
        <v>57</v>
      </c>
      <c r="E9" s="14" t="n">
        <v>9</v>
      </c>
      <c r="F9" s="14" t="n">
        <v>83901</v>
      </c>
      <c r="G9" s="15" t="n">
        <v>2430.198421052632</v>
      </c>
    </row>
    <row r="10">
      <c r="A10" t="inlineStr">
        <is>
          <t>Spain</t>
        </is>
      </c>
      <c r="B10" s="15" t="n">
        <v>61577.11</v>
      </c>
      <c r="C10" s="16" t="n">
        <v>0.00577284438937762</v>
      </c>
      <c r="D10" s="14" t="n">
        <v>90</v>
      </c>
      <c r="E10" s="14" t="n">
        <v>30</v>
      </c>
      <c r="F10" s="14" t="n">
        <v>27940</v>
      </c>
      <c r="G10" s="15" t="n">
        <v>684.1901111111112</v>
      </c>
    </row>
    <row r="11">
      <c r="A11" t="inlineStr">
        <is>
          <t>Switzerland</t>
        </is>
      </c>
      <c r="B11" s="15" t="n">
        <v>57089.9</v>
      </c>
      <c r="C11" s="16" t="n">
        <v>0.005352169156771557</v>
      </c>
      <c r="D11" s="14" t="n">
        <v>54</v>
      </c>
      <c r="E11" s="14" t="n">
        <v>21</v>
      </c>
      <c r="F11" s="14" t="n">
        <v>30629</v>
      </c>
      <c r="G11" s="15" t="n">
        <v>1057.22037037037</v>
      </c>
    </row>
    <row r="12">
      <c r="A12" t="inlineStr">
        <is>
          <t>Belgium</t>
        </is>
      </c>
      <c r="B12" s="15" t="n">
        <v>41196.34</v>
      </c>
      <c r="C12" s="16" t="n">
        <v>0.00386215040348423</v>
      </c>
      <c r="D12" s="14" t="n">
        <v>98</v>
      </c>
      <c r="E12" s="14" t="n">
        <v>25</v>
      </c>
      <c r="F12" s="14" t="n">
        <v>23237</v>
      </c>
      <c r="G12" s="15" t="n">
        <v>420.3708163265306</v>
      </c>
    </row>
    <row r="13">
      <c r="A13" t="inlineStr">
        <is>
          <t>Sweden</t>
        </is>
      </c>
      <c r="B13" s="15" t="n">
        <v>38378.33</v>
      </c>
      <c r="C13" s="16" t="n">
        <v>0.003597962408664239</v>
      </c>
      <c r="D13" s="14" t="n">
        <v>36</v>
      </c>
      <c r="E13" s="14" t="n">
        <v>8</v>
      </c>
      <c r="F13" s="14" t="n">
        <v>36083</v>
      </c>
      <c r="G13" s="15" t="n">
        <v>1066.064722222222</v>
      </c>
    </row>
    <row r="14">
      <c r="A14" t="inlineStr">
        <is>
          <t>Japan</t>
        </is>
      </c>
      <c r="B14" s="15" t="n">
        <v>37416.37</v>
      </c>
      <c r="C14" s="16" t="n">
        <v>0.003507778809778133</v>
      </c>
      <c r="D14" s="14" t="n">
        <v>19</v>
      </c>
      <c r="E14" s="14" t="n">
        <v>8</v>
      </c>
      <c r="F14" s="14" t="n">
        <v>26016</v>
      </c>
      <c r="G14" s="15" t="n">
        <v>1969.282631578947</v>
      </c>
    </row>
    <row r="15">
      <c r="A15" t="inlineStr">
        <is>
          <t>Norway</t>
        </is>
      </c>
      <c r="B15" s="15" t="n">
        <v>36165.44</v>
      </c>
      <c r="C15" s="16" t="n">
        <v>0.003390504318786201</v>
      </c>
      <c r="D15" s="14" t="n">
        <v>36</v>
      </c>
      <c r="E15" s="14" t="n">
        <v>10</v>
      </c>
      <c r="F15" s="14" t="n">
        <v>19336</v>
      </c>
      <c r="G15" s="15" t="n">
        <v>1004.595555555556</v>
      </c>
    </row>
    <row r="16">
      <c r="A16" t="inlineStr">
        <is>
          <t>Portugal</t>
        </is>
      </c>
      <c r="B16" s="15" t="n">
        <v>33747.1</v>
      </c>
      <c r="C16" s="16" t="n">
        <v>0.003163785323682217</v>
      </c>
      <c r="D16" s="14" t="n">
        <v>58</v>
      </c>
      <c r="E16" s="14" t="n">
        <v>19</v>
      </c>
      <c r="F16" s="14" t="n">
        <v>16258</v>
      </c>
      <c r="G16" s="15" t="n">
        <v>581.846551724138</v>
      </c>
    </row>
    <row r="17">
      <c r="A17" t="inlineStr">
        <is>
          <t>Finland</t>
        </is>
      </c>
      <c r="B17" s="15" t="n">
        <v>22546.08</v>
      </c>
      <c r="C17" s="16" t="n">
        <v>0.002113691458245751</v>
      </c>
      <c r="D17" s="14" t="n">
        <v>41</v>
      </c>
      <c r="E17" s="14" t="n">
        <v>12</v>
      </c>
      <c r="F17" s="14" t="n">
        <v>10704</v>
      </c>
      <c r="G17" s="15" t="n">
        <v>549.9043902439025</v>
      </c>
    </row>
    <row r="18">
      <c r="A18" t="inlineStr">
        <is>
          <t>Singapore</t>
        </is>
      </c>
      <c r="B18" s="15" t="n">
        <v>21279.29</v>
      </c>
      <c r="C18" s="16" t="n">
        <v>0.00199493009474526</v>
      </c>
      <c r="D18" s="14" t="n">
        <v>7</v>
      </c>
      <c r="E18" s="14" t="n">
        <v>1</v>
      </c>
      <c r="F18" s="14" t="n">
        <v>5241</v>
      </c>
      <c r="G18" s="15" t="n">
        <v>3039.898571428572</v>
      </c>
    </row>
    <row r="19">
      <c r="A19" t="inlineStr">
        <is>
          <t>Channel Islands</t>
        </is>
      </c>
      <c r="B19" s="15" t="n">
        <v>20450.44</v>
      </c>
      <c r="C19" s="16" t="n">
        <v>0.001917225537448959</v>
      </c>
      <c r="D19" s="14" t="n">
        <v>26</v>
      </c>
      <c r="E19" s="14" t="n">
        <v>9</v>
      </c>
      <c r="F19" s="14" t="n">
        <v>9491</v>
      </c>
      <c r="G19" s="15" t="n">
        <v>786.5553846153846</v>
      </c>
    </row>
    <row r="20">
      <c r="A20" t="inlineStr">
        <is>
          <t>Denmark</t>
        </is>
      </c>
      <c r="B20" s="15" t="n">
        <v>18955.34</v>
      </c>
      <c r="C20" s="16" t="n">
        <v>0.001777060147313591</v>
      </c>
      <c r="D20" s="14" t="n">
        <v>18</v>
      </c>
      <c r="E20" s="14" t="n">
        <v>9</v>
      </c>
      <c r="F20" s="14" t="n">
        <v>8235</v>
      </c>
      <c r="G20" s="15" t="n">
        <v>1053.074444444444</v>
      </c>
    </row>
    <row r="21">
      <c r="A21" t="inlineStr">
        <is>
          <t>Italy</t>
        </is>
      </c>
      <c r="B21" s="15" t="n">
        <v>17483.24</v>
      </c>
      <c r="C21" s="16" t="n">
        <v>0.001639051003565162</v>
      </c>
      <c r="D21" s="14" t="n">
        <v>38</v>
      </c>
      <c r="E21" s="14" t="n">
        <v>14</v>
      </c>
      <c r="F21" s="14" t="n">
        <v>8112</v>
      </c>
      <c r="G21" s="15" t="n">
        <v>460.0852631578948</v>
      </c>
    </row>
    <row r="22">
      <c r="A22" t="inlineStr">
        <is>
          <t>Hong Kong</t>
        </is>
      </c>
      <c r="B22" s="15" t="n">
        <v>15691.8</v>
      </c>
      <c r="C22" s="16" t="n">
        <v>0.00147110378498172</v>
      </c>
      <c r="D22" s="14" t="n">
        <v>11</v>
      </c>
      <c r="E22" s="14" t="n">
        <v>0</v>
      </c>
      <c r="F22" s="14" t="n">
        <v>4773</v>
      </c>
      <c r="G22" s="15" t="n">
        <v>1426.527272727273</v>
      </c>
    </row>
    <row r="23">
      <c r="A23" t="inlineStr">
        <is>
          <t>Cyprus</t>
        </is>
      </c>
      <c r="B23" s="15" t="n">
        <v>13590.38</v>
      </c>
      <c r="C23" s="16" t="n">
        <v>0.001274095990092907</v>
      </c>
      <c r="D23" s="14" t="n">
        <v>16</v>
      </c>
      <c r="E23" s="14" t="n">
        <v>8</v>
      </c>
      <c r="F23" s="14" t="n">
        <v>6361</v>
      </c>
      <c r="G23" s="15" t="n">
        <v>849.3987499999999</v>
      </c>
    </row>
    <row r="24">
      <c r="A24" t="inlineStr">
        <is>
          <t>Austria</t>
        </is>
      </c>
      <c r="B24" s="15" t="n">
        <v>10198.68</v>
      </c>
      <c r="C24" s="16" t="n">
        <v>0.000956124647893637</v>
      </c>
      <c r="D24" s="14" t="n">
        <v>17</v>
      </c>
      <c r="E24" s="14" t="n">
        <v>11</v>
      </c>
      <c r="F24" s="14" t="n">
        <v>4881</v>
      </c>
      <c r="G24" s="15" t="n">
        <v>599.9223529411765</v>
      </c>
    </row>
    <row r="25">
      <c r="A25" t="inlineStr">
        <is>
          <t>Israel</t>
        </is>
      </c>
      <c r="B25" s="15" t="n">
        <v>8135.26</v>
      </c>
      <c r="C25" s="16" t="n">
        <v>0.0007626793470354192</v>
      </c>
      <c r="D25" s="14" t="n">
        <v>8</v>
      </c>
      <c r="E25" s="14" t="n">
        <v>3</v>
      </c>
      <c r="F25" s="14" t="n">
        <v>4409</v>
      </c>
      <c r="G25" s="15" t="n">
        <v>1016.9075</v>
      </c>
    </row>
    <row r="26">
      <c r="A26" t="inlineStr">
        <is>
          <t>Poland</t>
        </is>
      </c>
      <c r="B26" s="15" t="n">
        <v>7334.65</v>
      </c>
      <c r="C26" s="16" t="n">
        <v>0.0006876222853029082</v>
      </c>
      <c r="D26" s="14" t="n">
        <v>19</v>
      </c>
      <c r="E26" s="14" t="n">
        <v>6</v>
      </c>
      <c r="F26" s="14" t="n">
        <v>3684</v>
      </c>
      <c r="G26" s="15" t="n">
        <v>386.0342105263157</v>
      </c>
    </row>
    <row r="27">
      <c r="A27" t="inlineStr">
        <is>
          <t>Greece</t>
        </is>
      </c>
      <c r="B27" s="15" t="n">
        <v>4760.52</v>
      </c>
      <c r="C27" s="16" t="n">
        <v>0.0004462980021719102</v>
      </c>
      <c r="D27" s="14" t="n">
        <v>5</v>
      </c>
      <c r="E27" s="14" t="n">
        <v>4</v>
      </c>
      <c r="F27" s="14" t="n">
        <v>1557</v>
      </c>
      <c r="G27" s="15" t="n">
        <v>952.104</v>
      </c>
    </row>
    <row r="28">
      <c r="A28" t="inlineStr">
        <is>
          <t>Unspecified</t>
        </is>
      </c>
      <c r="B28" s="15" t="n">
        <v>4749.79</v>
      </c>
      <c r="C28" s="16" t="n">
        <v>0.0004452920663574813</v>
      </c>
      <c r="D28" s="14" t="n">
        <v>13</v>
      </c>
      <c r="E28" s="14" t="n">
        <v>4</v>
      </c>
      <c r="F28" s="14" t="n">
        <v>3300</v>
      </c>
      <c r="G28" s="15" t="n">
        <v>365.3684615384615</v>
      </c>
    </row>
    <row r="29">
      <c r="A29" t="inlineStr">
        <is>
          <t>Iceland</t>
        </is>
      </c>
      <c r="B29" s="15" t="n">
        <v>4310</v>
      </c>
      <c r="C29" s="16" t="n">
        <v>0.0004040618229439079</v>
      </c>
      <c r="D29" s="14" t="n">
        <v>7</v>
      </c>
      <c r="E29" s="14" t="n">
        <v>1</v>
      </c>
      <c r="F29" s="14" t="n">
        <v>2458</v>
      </c>
      <c r="G29" s="15" t="n">
        <v>615.7142857142857</v>
      </c>
    </row>
    <row r="30">
      <c r="A30" t="inlineStr">
        <is>
          <t>Canada</t>
        </is>
      </c>
      <c r="B30" s="15" t="n">
        <v>3666.38</v>
      </c>
      <c r="C30" s="16" t="n">
        <v>0.0003437225490499038</v>
      </c>
      <c r="D30" s="14" t="n">
        <v>6</v>
      </c>
      <c r="E30" s="14" t="n">
        <v>4</v>
      </c>
      <c r="F30" s="14" t="n">
        <v>2763</v>
      </c>
      <c r="G30" s="15" t="n">
        <v>611.0633333333334</v>
      </c>
    </row>
    <row r="31">
      <c r="A31" t="inlineStr">
        <is>
          <t>USA</t>
        </is>
      </c>
      <c r="B31" s="15" t="n">
        <v>3580.39</v>
      </c>
      <c r="C31" s="16" t="n">
        <v>0.0003356610000580368</v>
      </c>
      <c r="D31" s="14" t="n">
        <v>5</v>
      </c>
      <c r="E31" s="14" t="n">
        <v>4</v>
      </c>
      <c r="F31" s="14" t="n">
        <v>2458</v>
      </c>
      <c r="G31" s="15" t="n">
        <v>716.078</v>
      </c>
    </row>
    <row r="32">
      <c r="A32" t="inlineStr">
        <is>
          <t>Malta</t>
        </is>
      </c>
      <c r="B32" s="15" t="n">
        <v>2725.59</v>
      </c>
      <c r="C32" s="16" t="n">
        <v>0.0002555236343382102</v>
      </c>
      <c r="D32" s="14" t="n">
        <v>5</v>
      </c>
      <c r="E32" s="14" t="n">
        <v>2</v>
      </c>
      <c r="F32" s="14" t="n">
        <v>970</v>
      </c>
      <c r="G32" s="15" t="n">
        <v>545.1180000000001</v>
      </c>
    </row>
    <row r="33">
      <c r="A33" t="inlineStr">
        <is>
          <t>United Arab Emirates</t>
        </is>
      </c>
      <c r="B33" s="15" t="n">
        <v>1902.28</v>
      </c>
      <c r="C33" s="16" t="n">
        <v>0.0001783384511716328</v>
      </c>
      <c r="D33" s="14" t="n">
        <v>3</v>
      </c>
      <c r="E33" s="14" t="n">
        <v>2</v>
      </c>
      <c r="F33" s="14" t="n">
        <v>982</v>
      </c>
      <c r="G33" s="15" t="n">
        <v>634.0933333333334</v>
      </c>
    </row>
    <row r="34">
      <c r="A34" t="inlineStr">
        <is>
          <t>Lebanon</t>
        </is>
      </c>
      <c r="B34" s="15" t="n">
        <v>1693.88</v>
      </c>
      <c r="C34" s="16" t="n">
        <v>0.0001588009839091014</v>
      </c>
      <c r="D34" s="14" t="n">
        <v>1</v>
      </c>
      <c r="E34" s="14" t="n">
        <v>1</v>
      </c>
      <c r="F34" s="14" t="n">
        <v>386</v>
      </c>
      <c r="G34" s="15" t="n">
        <v>1693.88</v>
      </c>
    </row>
    <row r="35">
      <c r="A35" t="inlineStr">
        <is>
          <t>Lithuania</t>
        </is>
      </c>
      <c r="B35" s="15" t="n">
        <v>1661.06</v>
      </c>
      <c r="C35" s="16" t="n">
        <v>0.0001557241140647814</v>
      </c>
      <c r="D35" s="14" t="n">
        <v>4</v>
      </c>
      <c r="E35" s="14" t="n">
        <v>1</v>
      </c>
      <c r="F35" s="14" t="n">
        <v>652</v>
      </c>
      <c r="G35" s="15" t="n">
        <v>415.265</v>
      </c>
    </row>
    <row r="36">
      <c r="A36" t="inlineStr">
        <is>
          <t>European Community</t>
        </is>
      </c>
      <c r="B36" s="15" t="n">
        <v>1300.25</v>
      </c>
      <c r="C36" s="16" t="n">
        <v>0.0001218982332442729</v>
      </c>
      <c r="D36" s="14" t="n">
        <v>4</v>
      </c>
      <c r="E36" s="14" t="n">
        <v>1</v>
      </c>
      <c r="F36" s="14" t="n">
        <v>499</v>
      </c>
      <c r="G36" s="15" t="n">
        <v>325.0625</v>
      </c>
    </row>
    <row r="37">
      <c r="A37" t="inlineStr">
        <is>
          <t>Brazil</t>
        </is>
      </c>
      <c r="B37" s="15" t="n">
        <v>1143.6</v>
      </c>
      <c r="C37" s="16" t="n">
        <v>0.0001072123203523557</v>
      </c>
      <c r="D37" s="14" t="n">
        <v>1</v>
      </c>
      <c r="E37" s="14" t="n">
        <v>1</v>
      </c>
      <c r="F37" s="14" t="n">
        <v>356</v>
      </c>
      <c r="G37" s="15" t="n">
        <v>1143.6</v>
      </c>
    </row>
    <row r="38">
      <c r="A38" t="inlineStr">
        <is>
          <t>RSA</t>
        </is>
      </c>
      <c r="B38" s="15" t="n">
        <v>1002.31</v>
      </c>
      <c r="C38" s="16" t="n">
        <v>9.396640504754255e-05</v>
      </c>
      <c r="D38" s="14" t="n">
        <v>1</v>
      </c>
      <c r="E38" s="14" t="n">
        <v>1</v>
      </c>
      <c r="F38" s="14" t="n">
        <v>351</v>
      </c>
      <c r="G38" s="15" t="n">
        <v>1002.31</v>
      </c>
    </row>
    <row r="39">
      <c r="A39" t="inlineStr">
        <is>
          <t>Czech Republic</t>
        </is>
      </c>
      <c r="B39" s="15" t="n">
        <v>826.74</v>
      </c>
      <c r="C39" s="16" t="n">
        <v>7.750674512776021e-05</v>
      </c>
      <c r="D39" s="14" t="n">
        <v>2</v>
      </c>
      <c r="E39" s="14" t="n">
        <v>1</v>
      </c>
      <c r="F39" s="14" t="n">
        <v>671</v>
      </c>
      <c r="G39" s="15" t="n">
        <v>413.37</v>
      </c>
    </row>
    <row r="40">
      <c r="A40" t="inlineStr">
        <is>
          <t>Bahrain</t>
        </is>
      </c>
      <c r="B40" s="15" t="n">
        <v>754.14</v>
      </c>
      <c r="C40" s="16" t="n">
        <v>7.070050653246374e-05</v>
      </c>
      <c r="D40" s="14" t="n">
        <v>3</v>
      </c>
      <c r="E40" s="14" t="n">
        <v>2</v>
      </c>
      <c r="F40" s="14" t="n">
        <v>314</v>
      </c>
      <c r="G40" s="15" t="n">
        <v>251.38</v>
      </c>
    </row>
    <row r="41">
      <c r="A41" t="inlineStr">
        <is>
          <t>Saudi Arabia</t>
        </is>
      </c>
      <c r="B41" s="15" t="n">
        <v>145.92</v>
      </c>
      <c r="C41" s="16" t="n">
        <v>1.367997707748841e-05</v>
      </c>
      <c r="D41" s="14" t="n">
        <v>1</v>
      </c>
      <c r="E41" s="14" t="n">
        <v>1</v>
      </c>
      <c r="F41" s="14" t="n">
        <v>80</v>
      </c>
      <c r="G41" s="15" t="n">
        <v>145.92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2026-10-02T17:22:54Z</dcterms:created>
  <dcterms:modified xmlns:dcterms="http://purl.org/dc/terms/" xmlns:xsi="http://www.w3.org/2001/XMLSchema-instance" xsi:type="dcterms:W3CDTF">2026-10-02T17:22:54Z</dcterms:modified>
</cp:coreProperties>
</file>